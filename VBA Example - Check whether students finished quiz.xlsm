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programming\Typo\"/>
    </mc:Choice>
  </mc:AlternateContent>
  <xr:revisionPtr revIDLastSave="0" documentId="8_{809B85CB-DB05-489F-A61C-EF82ADF67116}" xr6:coauthVersionLast="41" xr6:coauthVersionMax="41" xr10:uidLastSave="{00000000-0000-0000-0000-000000000000}"/>
  <bookViews>
    <workbookView xWindow="-120" yWindow="-120" windowWidth="29040" windowHeight="15840" activeTab="6" xr2:uid="{00000000-000D-0000-FFFF-FFFF00000000}"/>
  </bookViews>
  <sheets>
    <sheet name="Quiz1" sheetId="1" r:id="rId1"/>
    <sheet name="Quiz2" sheetId="2" r:id="rId2"/>
    <sheet name="Quiz3" sheetId="5" r:id="rId3"/>
    <sheet name="Quiz4" sheetId="6" r:id="rId4"/>
    <sheet name="Quiz5" sheetId="7" r:id="rId5"/>
    <sheet name="Quiz6" sheetId="8" r:id="rId6"/>
    <sheet name="Student list" sheetId="3" r:id="rId7"/>
    <sheet name="Randomrecord" sheetId="9" r:id="rId8"/>
    <sheet name="Sheet4" sheetId="4" r:id="rId9"/>
  </sheets>
  <definedNames>
    <definedName name="_xlchart.v1.0" hidden="1">'Student list'!$M$3:$M$22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0" i="9" l="1"/>
  <c r="A32" i="9"/>
  <c r="B32" i="9" s="1"/>
  <c r="D32" i="9"/>
  <c r="E32" i="9"/>
  <c r="F32" i="9"/>
  <c r="G32" i="9"/>
  <c r="H32" i="9"/>
  <c r="I32" i="9"/>
  <c r="J32" i="9"/>
  <c r="K32" i="9"/>
  <c r="L32" i="9"/>
  <c r="M32" i="9"/>
  <c r="A33" i="9"/>
  <c r="C33" i="9" s="1"/>
  <c r="D33" i="9"/>
  <c r="E33" i="9"/>
  <c r="F33" i="9"/>
  <c r="G33" i="9"/>
  <c r="H33" i="9"/>
  <c r="I33" i="9"/>
  <c r="J33" i="9"/>
  <c r="K33" i="9"/>
  <c r="L33" i="9"/>
  <c r="M33" i="9"/>
  <c r="A34" i="9"/>
  <c r="C34" i="9" s="1"/>
  <c r="D34" i="9"/>
  <c r="E34" i="9"/>
  <c r="F34" i="9"/>
  <c r="G34" i="9"/>
  <c r="H34" i="9"/>
  <c r="I34" i="9"/>
  <c r="J34" i="9"/>
  <c r="K34" i="9"/>
  <c r="L34" i="9"/>
  <c r="M34" i="9"/>
  <c r="A35" i="9"/>
  <c r="B35" i="9" s="1"/>
  <c r="D35" i="9"/>
  <c r="E35" i="9"/>
  <c r="F35" i="9"/>
  <c r="G35" i="9"/>
  <c r="H35" i="9"/>
  <c r="I35" i="9"/>
  <c r="J35" i="9"/>
  <c r="K35" i="9"/>
  <c r="L35" i="9"/>
  <c r="M35" i="9"/>
  <c r="A36" i="9"/>
  <c r="B36" i="9" s="1"/>
  <c r="D36" i="9"/>
  <c r="E36" i="9"/>
  <c r="F36" i="9"/>
  <c r="G36" i="9"/>
  <c r="H36" i="9"/>
  <c r="I36" i="9"/>
  <c r="J36" i="9"/>
  <c r="K36" i="9"/>
  <c r="L36" i="9"/>
  <c r="M36" i="9"/>
  <c r="A37" i="9"/>
  <c r="B37" i="9" s="1"/>
  <c r="D37" i="9"/>
  <c r="E37" i="9"/>
  <c r="F37" i="9"/>
  <c r="G37" i="9"/>
  <c r="H37" i="9"/>
  <c r="I37" i="9"/>
  <c r="J37" i="9"/>
  <c r="K37" i="9"/>
  <c r="L37" i="9"/>
  <c r="M37" i="9"/>
  <c r="A38" i="9"/>
  <c r="C38" i="9" s="1"/>
  <c r="D38" i="9"/>
  <c r="E38" i="9"/>
  <c r="F38" i="9"/>
  <c r="G38" i="9"/>
  <c r="H38" i="9"/>
  <c r="I38" i="9"/>
  <c r="J38" i="9"/>
  <c r="K38" i="9"/>
  <c r="L38" i="9"/>
  <c r="M38" i="9"/>
  <c r="A39" i="9"/>
  <c r="B39" i="9" s="1"/>
  <c r="D39" i="9"/>
  <c r="E39" i="9"/>
  <c r="F39" i="9"/>
  <c r="G39" i="9"/>
  <c r="H39" i="9"/>
  <c r="I39" i="9"/>
  <c r="J39" i="9"/>
  <c r="K39" i="9"/>
  <c r="L39" i="9"/>
  <c r="M39" i="9"/>
  <c r="A40" i="9"/>
  <c r="C40" i="9" s="1"/>
  <c r="D40" i="9"/>
  <c r="E40" i="9"/>
  <c r="F40" i="9"/>
  <c r="G40" i="9"/>
  <c r="H40" i="9"/>
  <c r="I40" i="9"/>
  <c r="J40" i="9"/>
  <c r="K40" i="9"/>
  <c r="L40" i="9"/>
  <c r="M40" i="9"/>
  <c r="A41" i="9"/>
  <c r="C41" i="9" s="1"/>
  <c r="D41" i="9"/>
  <c r="E41" i="9"/>
  <c r="F41" i="9"/>
  <c r="G41" i="9"/>
  <c r="H41" i="9"/>
  <c r="I41" i="9"/>
  <c r="J41" i="9"/>
  <c r="K41" i="9"/>
  <c r="L41" i="9"/>
  <c r="M41" i="9"/>
  <c r="A42" i="9"/>
  <c r="C42" i="9" s="1"/>
  <c r="D42" i="9"/>
  <c r="E42" i="9"/>
  <c r="F42" i="9"/>
  <c r="G42" i="9"/>
  <c r="H42" i="9"/>
  <c r="I42" i="9"/>
  <c r="J42" i="9"/>
  <c r="K42" i="9"/>
  <c r="L42" i="9"/>
  <c r="M42" i="9"/>
  <c r="A43" i="9"/>
  <c r="B43" i="9" s="1"/>
  <c r="D43" i="9"/>
  <c r="E43" i="9"/>
  <c r="F43" i="9"/>
  <c r="G43" i="9"/>
  <c r="H43" i="9"/>
  <c r="I43" i="9"/>
  <c r="J43" i="9"/>
  <c r="K43" i="9"/>
  <c r="L43" i="9"/>
  <c r="M43" i="9"/>
  <c r="A44" i="9"/>
  <c r="C44" i="9" s="1"/>
  <c r="D44" i="9"/>
  <c r="E44" i="9"/>
  <c r="F44" i="9"/>
  <c r="G44" i="9"/>
  <c r="H44" i="9"/>
  <c r="I44" i="9"/>
  <c r="J44" i="9"/>
  <c r="K44" i="9"/>
  <c r="L44" i="9"/>
  <c r="M44" i="9"/>
  <c r="A45" i="9"/>
  <c r="B45" i="9" s="1"/>
  <c r="D45" i="9"/>
  <c r="E45" i="9"/>
  <c r="F45" i="9"/>
  <c r="G45" i="9"/>
  <c r="H45" i="9"/>
  <c r="I45" i="9"/>
  <c r="J45" i="9"/>
  <c r="K45" i="9"/>
  <c r="L45" i="9"/>
  <c r="M45" i="9"/>
  <c r="A46" i="9"/>
  <c r="B46" i="9" s="1"/>
  <c r="D46" i="9"/>
  <c r="E46" i="9"/>
  <c r="F46" i="9"/>
  <c r="G46" i="9"/>
  <c r="H46" i="9"/>
  <c r="I46" i="9"/>
  <c r="J46" i="9"/>
  <c r="K46" i="9"/>
  <c r="L46" i="9"/>
  <c r="M46" i="9"/>
  <c r="A47" i="9"/>
  <c r="B47" i="9" s="1"/>
  <c r="D47" i="9"/>
  <c r="E47" i="9"/>
  <c r="F47" i="9"/>
  <c r="G47" i="9"/>
  <c r="H47" i="9"/>
  <c r="I47" i="9"/>
  <c r="J47" i="9"/>
  <c r="K47" i="9"/>
  <c r="L47" i="9"/>
  <c r="M47" i="9"/>
  <c r="A48" i="9"/>
  <c r="C48" i="9" s="1"/>
  <c r="D48" i="9"/>
  <c r="E48" i="9"/>
  <c r="F48" i="9"/>
  <c r="G48" i="9"/>
  <c r="H48" i="9"/>
  <c r="I48" i="9"/>
  <c r="J48" i="9"/>
  <c r="K48" i="9"/>
  <c r="L48" i="9"/>
  <c r="M48" i="9"/>
  <c r="A49" i="9"/>
  <c r="C49" i="9" s="1"/>
  <c r="D49" i="9"/>
  <c r="E49" i="9"/>
  <c r="F49" i="9"/>
  <c r="G49" i="9"/>
  <c r="H49" i="9"/>
  <c r="I49" i="9"/>
  <c r="J49" i="9"/>
  <c r="K49" i="9"/>
  <c r="L49" i="9"/>
  <c r="M49" i="9"/>
  <c r="A50" i="9"/>
  <c r="C50" i="9" s="1"/>
  <c r="D50" i="9"/>
  <c r="E50" i="9"/>
  <c r="F50" i="9"/>
  <c r="G50" i="9"/>
  <c r="H50" i="9"/>
  <c r="I50" i="9"/>
  <c r="J50" i="9"/>
  <c r="K50" i="9"/>
  <c r="L50" i="9"/>
  <c r="E2" i="9"/>
  <c r="F2" i="9"/>
  <c r="G2" i="9"/>
  <c r="H2" i="9"/>
  <c r="I2" i="9"/>
  <c r="J2" i="9"/>
  <c r="K2" i="9"/>
  <c r="L2" i="9"/>
  <c r="M2" i="9"/>
  <c r="E3" i="9"/>
  <c r="F3" i="9"/>
  <c r="G3" i="9"/>
  <c r="H3" i="9"/>
  <c r="I3" i="9"/>
  <c r="J3" i="9"/>
  <c r="K3" i="9"/>
  <c r="L3" i="9"/>
  <c r="M3" i="9"/>
  <c r="E4" i="9"/>
  <c r="F4" i="9"/>
  <c r="G4" i="9"/>
  <c r="H4" i="9"/>
  <c r="I4" i="9"/>
  <c r="J4" i="9"/>
  <c r="K4" i="9"/>
  <c r="L4" i="9"/>
  <c r="M4" i="9"/>
  <c r="E5" i="9"/>
  <c r="F5" i="9"/>
  <c r="G5" i="9"/>
  <c r="H5" i="9"/>
  <c r="I5" i="9"/>
  <c r="J5" i="9"/>
  <c r="K5" i="9"/>
  <c r="L5" i="9"/>
  <c r="M5" i="9"/>
  <c r="E6" i="9"/>
  <c r="F6" i="9"/>
  <c r="G6" i="9"/>
  <c r="H6" i="9"/>
  <c r="I6" i="9"/>
  <c r="J6" i="9"/>
  <c r="K6" i="9"/>
  <c r="L6" i="9"/>
  <c r="M6" i="9"/>
  <c r="E7" i="9"/>
  <c r="F7" i="9"/>
  <c r="G7" i="9"/>
  <c r="H7" i="9"/>
  <c r="I7" i="9"/>
  <c r="J7" i="9"/>
  <c r="K7" i="9"/>
  <c r="L7" i="9"/>
  <c r="M7" i="9"/>
  <c r="E8" i="9"/>
  <c r="F8" i="9"/>
  <c r="G8" i="9"/>
  <c r="H8" i="9"/>
  <c r="I8" i="9"/>
  <c r="J8" i="9"/>
  <c r="K8" i="9"/>
  <c r="L8" i="9"/>
  <c r="M8" i="9"/>
  <c r="E9" i="9"/>
  <c r="F9" i="9"/>
  <c r="G9" i="9"/>
  <c r="H9" i="9"/>
  <c r="I9" i="9"/>
  <c r="J9" i="9"/>
  <c r="K9" i="9"/>
  <c r="L9" i="9"/>
  <c r="M9" i="9"/>
  <c r="E10" i="9"/>
  <c r="F10" i="9"/>
  <c r="G10" i="9"/>
  <c r="H10" i="9"/>
  <c r="I10" i="9"/>
  <c r="J10" i="9"/>
  <c r="K10" i="9"/>
  <c r="L10" i="9"/>
  <c r="M10" i="9"/>
  <c r="E11" i="9"/>
  <c r="F11" i="9"/>
  <c r="G11" i="9"/>
  <c r="H11" i="9"/>
  <c r="I11" i="9"/>
  <c r="J11" i="9"/>
  <c r="K11" i="9"/>
  <c r="L11" i="9"/>
  <c r="M11" i="9"/>
  <c r="E12" i="9"/>
  <c r="F12" i="9"/>
  <c r="G12" i="9"/>
  <c r="H12" i="9"/>
  <c r="I12" i="9"/>
  <c r="J12" i="9"/>
  <c r="K12" i="9"/>
  <c r="L12" i="9"/>
  <c r="M12" i="9"/>
  <c r="E13" i="9"/>
  <c r="F13" i="9"/>
  <c r="G13" i="9"/>
  <c r="H13" i="9"/>
  <c r="I13" i="9"/>
  <c r="J13" i="9"/>
  <c r="K13" i="9"/>
  <c r="L13" i="9"/>
  <c r="M13" i="9"/>
  <c r="E14" i="9"/>
  <c r="F14" i="9"/>
  <c r="G14" i="9"/>
  <c r="H14" i="9"/>
  <c r="I14" i="9"/>
  <c r="J14" i="9"/>
  <c r="K14" i="9"/>
  <c r="L14" i="9"/>
  <c r="M14" i="9"/>
  <c r="E15" i="9"/>
  <c r="F15" i="9"/>
  <c r="G15" i="9"/>
  <c r="H15" i="9"/>
  <c r="I15" i="9"/>
  <c r="J15" i="9"/>
  <c r="K15" i="9"/>
  <c r="L15" i="9"/>
  <c r="M15" i="9"/>
  <c r="E16" i="9"/>
  <c r="F16" i="9"/>
  <c r="G16" i="9"/>
  <c r="H16" i="9"/>
  <c r="I16" i="9"/>
  <c r="J16" i="9"/>
  <c r="K16" i="9"/>
  <c r="L16" i="9"/>
  <c r="M16" i="9"/>
  <c r="E17" i="9"/>
  <c r="F17" i="9"/>
  <c r="G17" i="9"/>
  <c r="H17" i="9"/>
  <c r="I17" i="9"/>
  <c r="J17" i="9"/>
  <c r="K17" i="9"/>
  <c r="L17" i="9"/>
  <c r="M17" i="9"/>
  <c r="E18" i="9"/>
  <c r="F18" i="9"/>
  <c r="G18" i="9"/>
  <c r="H18" i="9"/>
  <c r="I18" i="9"/>
  <c r="J18" i="9"/>
  <c r="K18" i="9"/>
  <c r="L18" i="9"/>
  <c r="M18" i="9"/>
  <c r="E19" i="9"/>
  <c r="F19" i="9"/>
  <c r="G19" i="9"/>
  <c r="H19" i="9"/>
  <c r="I19" i="9"/>
  <c r="J19" i="9"/>
  <c r="K19" i="9"/>
  <c r="L19" i="9"/>
  <c r="M19" i="9"/>
  <c r="E20" i="9"/>
  <c r="F20" i="9"/>
  <c r="G20" i="9"/>
  <c r="H20" i="9"/>
  <c r="I20" i="9"/>
  <c r="J20" i="9"/>
  <c r="K20" i="9"/>
  <c r="L20" i="9"/>
  <c r="M20" i="9"/>
  <c r="E21" i="9"/>
  <c r="F21" i="9"/>
  <c r="G21" i="9"/>
  <c r="H21" i="9"/>
  <c r="I21" i="9"/>
  <c r="J21" i="9"/>
  <c r="K21" i="9"/>
  <c r="L21" i="9"/>
  <c r="M21" i="9"/>
  <c r="E22" i="9"/>
  <c r="F22" i="9"/>
  <c r="G22" i="9"/>
  <c r="H22" i="9"/>
  <c r="I22" i="9"/>
  <c r="J22" i="9"/>
  <c r="K22" i="9"/>
  <c r="L22" i="9"/>
  <c r="M22" i="9"/>
  <c r="E23" i="9"/>
  <c r="F23" i="9"/>
  <c r="G23" i="9"/>
  <c r="H23" i="9"/>
  <c r="I23" i="9"/>
  <c r="J23" i="9"/>
  <c r="K23" i="9"/>
  <c r="L23" i="9"/>
  <c r="M23" i="9"/>
  <c r="E24" i="9"/>
  <c r="F24" i="9"/>
  <c r="G24" i="9"/>
  <c r="H24" i="9"/>
  <c r="I24" i="9"/>
  <c r="J24" i="9"/>
  <c r="K24" i="9"/>
  <c r="L24" i="9"/>
  <c r="M24" i="9"/>
  <c r="E25" i="9"/>
  <c r="F25" i="9"/>
  <c r="G25" i="9"/>
  <c r="H25" i="9"/>
  <c r="I25" i="9"/>
  <c r="J25" i="9"/>
  <c r="K25" i="9"/>
  <c r="L25" i="9"/>
  <c r="M25" i="9"/>
  <c r="E26" i="9"/>
  <c r="F26" i="9"/>
  <c r="G26" i="9"/>
  <c r="H26" i="9"/>
  <c r="I26" i="9"/>
  <c r="J26" i="9"/>
  <c r="K26" i="9"/>
  <c r="L26" i="9"/>
  <c r="M26" i="9"/>
  <c r="E27" i="9"/>
  <c r="F27" i="9"/>
  <c r="G27" i="9"/>
  <c r="H27" i="9"/>
  <c r="I27" i="9"/>
  <c r="J27" i="9"/>
  <c r="K27" i="9"/>
  <c r="L27" i="9"/>
  <c r="M27" i="9"/>
  <c r="E28" i="9"/>
  <c r="F28" i="9"/>
  <c r="G28" i="9"/>
  <c r="H28" i="9"/>
  <c r="I28" i="9"/>
  <c r="J28" i="9"/>
  <c r="K28" i="9"/>
  <c r="L28" i="9"/>
  <c r="M28" i="9"/>
  <c r="E29" i="9"/>
  <c r="F29" i="9"/>
  <c r="G29" i="9"/>
  <c r="H29" i="9"/>
  <c r="I29" i="9"/>
  <c r="J29" i="9"/>
  <c r="K29" i="9"/>
  <c r="L29" i="9"/>
  <c r="M29" i="9"/>
  <c r="E30" i="9"/>
  <c r="F30" i="9"/>
  <c r="G30" i="9"/>
  <c r="H30" i="9"/>
  <c r="I30" i="9"/>
  <c r="J30" i="9"/>
  <c r="K30" i="9"/>
  <c r="L30" i="9"/>
  <c r="M30" i="9"/>
  <c r="E31" i="9"/>
  <c r="F31" i="9"/>
  <c r="G31" i="9"/>
  <c r="H31" i="9"/>
  <c r="I31" i="9"/>
  <c r="J31" i="9"/>
  <c r="K31" i="9"/>
  <c r="L31" i="9"/>
  <c r="M31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2" i="9"/>
  <c r="A3" i="9"/>
  <c r="B3" i="9" s="1"/>
  <c r="A4" i="9"/>
  <c r="B4" i="9" s="1"/>
  <c r="A5" i="9"/>
  <c r="B5" i="9" s="1"/>
  <c r="A6" i="9"/>
  <c r="B6" i="9" s="1"/>
  <c r="A7" i="9"/>
  <c r="B7" i="9" s="1"/>
  <c r="A8" i="9"/>
  <c r="C8" i="9" s="1"/>
  <c r="A9" i="9"/>
  <c r="B9" i="9" s="1"/>
  <c r="A10" i="9"/>
  <c r="C10" i="9" s="1"/>
  <c r="A11" i="9"/>
  <c r="B11" i="9" s="1"/>
  <c r="A12" i="9"/>
  <c r="B12" i="9" s="1"/>
  <c r="A13" i="9"/>
  <c r="B13" i="9" s="1"/>
  <c r="A14" i="9"/>
  <c r="B14" i="9" s="1"/>
  <c r="A15" i="9"/>
  <c r="B15" i="9" s="1"/>
  <c r="A16" i="9"/>
  <c r="B16" i="9" s="1"/>
  <c r="A17" i="9"/>
  <c r="B17" i="9" s="1"/>
  <c r="A18" i="9"/>
  <c r="C18" i="9" s="1"/>
  <c r="A19" i="9"/>
  <c r="B19" i="9" s="1"/>
  <c r="A20" i="9"/>
  <c r="B20" i="9" s="1"/>
  <c r="A21" i="9"/>
  <c r="B21" i="9" s="1"/>
  <c r="A22" i="9"/>
  <c r="C22" i="9" s="1"/>
  <c r="A23" i="9"/>
  <c r="C23" i="9" s="1"/>
  <c r="A24" i="9"/>
  <c r="B24" i="9" s="1"/>
  <c r="A25" i="9"/>
  <c r="B25" i="9" s="1"/>
  <c r="A26" i="9"/>
  <c r="C26" i="9" s="1"/>
  <c r="A27" i="9"/>
  <c r="B27" i="9" s="1"/>
  <c r="A28" i="9"/>
  <c r="B28" i="9" s="1"/>
  <c r="A29" i="9"/>
  <c r="B29" i="9" s="1"/>
  <c r="A30" i="9"/>
  <c r="B30" i="9" s="1"/>
  <c r="A31" i="9"/>
  <c r="C31" i="9" s="1"/>
  <c r="A2" i="9"/>
  <c r="B2" i="9" s="1"/>
  <c r="B44" i="9" l="1"/>
  <c r="C45" i="9"/>
  <c r="C37" i="9"/>
  <c r="C43" i="9"/>
  <c r="C35" i="9"/>
  <c r="B49" i="9"/>
  <c r="B41" i="9"/>
  <c r="B33" i="9"/>
  <c r="C36" i="9"/>
  <c r="B50" i="9"/>
  <c r="B48" i="9"/>
  <c r="B42" i="9"/>
  <c r="B40" i="9"/>
  <c r="B34" i="9"/>
  <c r="C46" i="9"/>
  <c r="B38" i="9"/>
  <c r="C39" i="9"/>
  <c r="C47" i="9"/>
  <c r="C32" i="9"/>
  <c r="B8" i="9"/>
  <c r="C25" i="9"/>
  <c r="B23" i="9"/>
  <c r="C17" i="9"/>
  <c r="C2" i="9"/>
  <c r="C24" i="9"/>
  <c r="C16" i="9"/>
  <c r="C15" i="9"/>
  <c r="C7" i="9"/>
  <c r="C30" i="9"/>
  <c r="C14" i="9"/>
  <c r="C6" i="9"/>
  <c r="C29" i="9"/>
  <c r="C21" i="9"/>
  <c r="C13" i="9"/>
  <c r="C5" i="9"/>
  <c r="C9" i="9"/>
  <c r="C28" i="9"/>
  <c r="C20" i="9"/>
  <c r="C12" i="9"/>
  <c r="C4" i="9"/>
  <c r="C27" i="9"/>
  <c r="C19" i="9"/>
  <c r="C11" i="9"/>
  <c r="C3" i="9"/>
  <c r="B22" i="9"/>
  <c r="B18" i="9"/>
  <c r="B31" i="9"/>
  <c r="B26" i="9"/>
  <c r="B10" i="9"/>
  <c r="D4" i="3"/>
  <c r="E4" i="3"/>
  <c r="G4" i="3"/>
  <c r="H4" i="3"/>
  <c r="J4" i="3"/>
  <c r="K4" i="3"/>
  <c r="D5" i="3"/>
  <c r="E5" i="3"/>
  <c r="G5" i="3"/>
  <c r="H5" i="3"/>
  <c r="J5" i="3"/>
  <c r="K5" i="3"/>
  <c r="D6" i="3"/>
  <c r="E6" i="3"/>
  <c r="G6" i="3"/>
  <c r="H6" i="3"/>
  <c r="J6" i="3"/>
  <c r="K6" i="3"/>
  <c r="D7" i="3"/>
  <c r="E7" i="3"/>
  <c r="G7" i="3"/>
  <c r="H7" i="3"/>
  <c r="J7" i="3"/>
  <c r="K7" i="3"/>
  <c r="D8" i="3"/>
  <c r="E8" i="3"/>
  <c r="G8" i="3"/>
  <c r="H8" i="3"/>
  <c r="J8" i="3"/>
  <c r="K8" i="3"/>
  <c r="D9" i="3"/>
  <c r="E9" i="3"/>
  <c r="G9" i="3"/>
  <c r="H9" i="3"/>
  <c r="J9" i="3"/>
  <c r="K9" i="3"/>
  <c r="D10" i="3"/>
  <c r="E10" i="3"/>
  <c r="G10" i="3"/>
  <c r="H10" i="3"/>
  <c r="J10" i="3"/>
  <c r="K10" i="3"/>
  <c r="D11" i="3"/>
  <c r="E11" i="3"/>
  <c r="G11" i="3"/>
  <c r="H11" i="3"/>
  <c r="J11" i="3"/>
  <c r="K11" i="3"/>
  <c r="D12" i="3"/>
  <c r="E12" i="3"/>
  <c r="G12" i="3"/>
  <c r="H12" i="3"/>
  <c r="J12" i="3"/>
  <c r="K12" i="3"/>
  <c r="D13" i="3"/>
  <c r="E13" i="3"/>
  <c r="G13" i="3"/>
  <c r="H13" i="3"/>
  <c r="J13" i="3"/>
  <c r="K13" i="3"/>
  <c r="D14" i="3"/>
  <c r="E14" i="3"/>
  <c r="G14" i="3"/>
  <c r="H14" i="3"/>
  <c r="J14" i="3"/>
  <c r="K14" i="3"/>
  <c r="D15" i="3"/>
  <c r="E15" i="3"/>
  <c r="G15" i="3"/>
  <c r="H15" i="3"/>
  <c r="J15" i="3"/>
  <c r="K15" i="3"/>
  <c r="D16" i="3"/>
  <c r="E16" i="3"/>
  <c r="G16" i="3"/>
  <c r="H16" i="3"/>
  <c r="J16" i="3"/>
  <c r="K16" i="3"/>
  <c r="D17" i="3"/>
  <c r="E17" i="3"/>
  <c r="G17" i="3"/>
  <c r="H17" i="3"/>
  <c r="J17" i="3"/>
  <c r="K17" i="3"/>
  <c r="D18" i="3"/>
  <c r="E18" i="3"/>
  <c r="G18" i="3"/>
  <c r="H18" i="3"/>
  <c r="J18" i="3"/>
  <c r="K18" i="3"/>
  <c r="D19" i="3"/>
  <c r="E19" i="3"/>
  <c r="G19" i="3"/>
  <c r="H19" i="3"/>
  <c r="J19" i="3"/>
  <c r="K19" i="3"/>
  <c r="D20" i="3"/>
  <c r="E20" i="3"/>
  <c r="G20" i="3"/>
  <c r="H20" i="3"/>
  <c r="J20" i="3"/>
  <c r="K20" i="3"/>
  <c r="D21" i="3"/>
  <c r="E21" i="3"/>
  <c r="G21" i="3"/>
  <c r="H21" i="3"/>
  <c r="J21" i="3"/>
  <c r="K21" i="3"/>
  <c r="D22" i="3"/>
  <c r="E22" i="3"/>
  <c r="G22" i="3"/>
  <c r="H22" i="3"/>
  <c r="J22" i="3"/>
  <c r="K22" i="3"/>
  <c r="K3" i="3"/>
  <c r="J3" i="3"/>
  <c r="H3" i="3"/>
  <c r="G3" i="3"/>
  <c r="E3" i="3"/>
  <c r="D3" i="3"/>
  <c r="M16" i="3" l="1"/>
  <c r="M8" i="3"/>
  <c r="M20" i="3"/>
  <c r="M12" i="3"/>
  <c r="M4" i="3"/>
  <c r="M3" i="3"/>
  <c r="M22" i="3"/>
  <c r="M14" i="3"/>
  <c r="M21" i="3"/>
  <c r="M17" i="3"/>
  <c r="M13" i="3"/>
  <c r="M9" i="3"/>
  <c r="M5" i="3"/>
  <c r="M6" i="3"/>
  <c r="M19" i="3"/>
  <c r="M15" i="3"/>
  <c r="M7" i="3"/>
  <c r="M18" i="3"/>
  <c r="M11" i="3"/>
  <c r="M10" i="3"/>
  <c r="L3" i="3"/>
  <c r="L18" i="3"/>
  <c r="L14" i="3"/>
  <c r="L10" i="3"/>
  <c r="L6" i="3"/>
  <c r="L22" i="3"/>
  <c r="L19" i="3"/>
  <c r="L15" i="3"/>
  <c r="L11" i="3"/>
  <c r="L7" i="3"/>
  <c r="L20" i="3"/>
  <c r="L16" i="3"/>
  <c r="L12" i="3"/>
  <c r="L8" i="3"/>
  <c r="L4" i="3"/>
  <c r="L21" i="3"/>
  <c r="L17" i="3"/>
  <c r="L13" i="3"/>
  <c r="L9" i="3"/>
  <c r="L5" i="3"/>
  <c r="I3" i="3"/>
  <c r="I6" i="3"/>
  <c r="I8" i="3"/>
  <c r="I4" i="3"/>
  <c r="I16" i="3"/>
  <c r="I20" i="3"/>
  <c r="I18" i="3"/>
  <c r="I10" i="3"/>
  <c r="I22" i="3"/>
  <c r="I14" i="3"/>
  <c r="I12" i="3"/>
  <c r="I21" i="3"/>
  <c r="I17" i="3"/>
  <c r="I13" i="3"/>
  <c r="I9" i="3"/>
  <c r="I5" i="3"/>
  <c r="I19" i="3"/>
  <c r="I15" i="3"/>
  <c r="I11" i="3"/>
  <c r="I7" i="3"/>
  <c r="F3" i="3"/>
  <c r="F20" i="3"/>
  <c r="F16" i="3"/>
  <c r="F12" i="3"/>
  <c r="F8" i="3"/>
  <c r="F4" i="3"/>
  <c r="F21" i="3"/>
  <c r="F17" i="3"/>
  <c r="F13" i="3"/>
  <c r="F9" i="3"/>
  <c r="F5" i="3"/>
  <c r="F22" i="3"/>
  <c r="F18" i="3"/>
  <c r="F14" i="3"/>
  <c r="F10" i="3"/>
  <c r="F6" i="3"/>
  <c r="F19" i="3"/>
  <c r="F15" i="3"/>
  <c r="F11" i="3"/>
  <c r="F7" i="3"/>
  <c r="K24" i="3"/>
  <c r="K23" i="3"/>
  <c r="J24" i="3"/>
  <c r="H24" i="3"/>
  <c r="G24" i="3"/>
  <c r="E24" i="3"/>
  <c r="D24" i="3"/>
  <c r="J23" i="3"/>
  <c r="H23" i="3"/>
  <c r="G23" i="3"/>
  <c r="E23" i="3"/>
  <c r="D23" i="3"/>
  <c r="D25" i="3" l="1"/>
  <c r="N22" i="3"/>
  <c r="O22" i="3" s="1"/>
  <c r="N15" i="3"/>
  <c r="O15" i="3" s="1"/>
  <c r="L24" i="3"/>
  <c r="K25" i="3"/>
  <c r="N10" i="3"/>
  <c r="O10" i="3" s="1"/>
  <c r="J25" i="3"/>
  <c r="N11" i="3"/>
  <c r="O11" i="3" s="1"/>
  <c r="N6" i="3"/>
  <c r="O6" i="3" s="1"/>
  <c r="N4" i="3"/>
  <c r="O4" i="3" s="1"/>
  <c r="N5" i="3"/>
  <c r="O5" i="3" s="1"/>
  <c r="N9" i="3"/>
  <c r="O9" i="3" s="1"/>
  <c r="H25" i="3"/>
  <c r="N18" i="3"/>
  <c r="O18" i="3" s="1"/>
  <c r="N16" i="3"/>
  <c r="O16" i="3" s="1"/>
  <c r="N12" i="3"/>
  <c r="O12" i="3" s="1"/>
  <c r="N19" i="3"/>
  <c r="O19" i="3" s="1"/>
  <c r="N7" i="3"/>
  <c r="O7" i="3" s="1"/>
  <c r="N8" i="3"/>
  <c r="O8" i="3" s="1"/>
  <c r="N14" i="3"/>
  <c r="O14" i="3" s="1"/>
  <c r="N13" i="3"/>
  <c r="O13" i="3" s="1"/>
  <c r="N20" i="3"/>
  <c r="O20" i="3" s="1"/>
  <c r="I24" i="3"/>
  <c r="N17" i="3"/>
  <c r="O17" i="3" s="1"/>
  <c r="N21" i="3"/>
  <c r="O21" i="3" s="1"/>
  <c r="G25" i="3"/>
  <c r="E25" i="3"/>
  <c r="F24" i="3"/>
  <c r="F23" i="3"/>
  <c r="L23" i="3"/>
  <c r="I23" i="3"/>
  <c r="N3" i="3"/>
  <c r="O3" i="3" s="1"/>
  <c r="L25" i="3" l="1"/>
  <c r="I25" i="3"/>
  <c r="F25" i="3"/>
  <c r="O23" i="3"/>
  <c r="O24" i="3"/>
  <c r="O25" i="3" l="1"/>
</calcChain>
</file>

<file path=xl/sharedStrings.xml><?xml version="1.0" encoding="utf-8"?>
<sst xmlns="http://schemas.openxmlformats.org/spreadsheetml/2006/main" count="903" uniqueCount="86">
  <si>
    <t>ID</t>
    <phoneticPr fontId="1" type="noConversion"/>
  </si>
  <si>
    <t xml:space="preserve">First </t>
    <phoneticPr fontId="1" type="noConversion"/>
  </si>
  <si>
    <t>Second</t>
    <phoneticPr fontId="1" type="noConversion"/>
  </si>
  <si>
    <t>Q1</t>
    <phoneticPr fontId="1" type="noConversion"/>
  </si>
  <si>
    <t>Q2</t>
    <phoneticPr fontId="1" type="noConversion"/>
  </si>
  <si>
    <t>Q3</t>
    <phoneticPr fontId="1" type="noConversion"/>
  </si>
  <si>
    <t>Manda</t>
  </si>
  <si>
    <t>Otero</t>
  </si>
  <si>
    <t>Kayce</t>
  </si>
  <si>
    <t>Labar</t>
  </si>
  <si>
    <t>Elena</t>
  </si>
  <si>
    <t>Dickerson</t>
  </si>
  <si>
    <t>Neomi</t>
  </si>
  <si>
    <t>Overstreet</t>
  </si>
  <si>
    <t>Santo</t>
  </si>
  <si>
    <t>Menz</t>
  </si>
  <si>
    <t>Zonia</t>
  </si>
  <si>
    <t>Bourbeau</t>
  </si>
  <si>
    <t>Lottie</t>
  </si>
  <si>
    <t>Jiggetts</t>
  </si>
  <si>
    <t>Christian</t>
  </si>
  <si>
    <t>Quill</t>
  </si>
  <si>
    <t>Clement</t>
  </si>
  <si>
    <t>Burner</t>
  </si>
  <si>
    <t>Jenni</t>
  </si>
  <si>
    <t>Kilmer</t>
  </si>
  <si>
    <t>Tomika</t>
  </si>
  <si>
    <t>Villa</t>
  </si>
  <si>
    <t>Fleta</t>
  </si>
  <si>
    <t>Desmond</t>
  </si>
  <si>
    <t>Seema</t>
  </si>
  <si>
    <t>Kennerson</t>
  </si>
  <si>
    <t>Sheilah</t>
  </si>
  <si>
    <t>Wright</t>
  </si>
  <si>
    <t>Francesca</t>
  </si>
  <si>
    <t>Platner</t>
  </si>
  <si>
    <t>Arianne</t>
  </si>
  <si>
    <t>Mcgarity</t>
  </si>
  <si>
    <t>Sherill</t>
  </si>
  <si>
    <t>Wulff</t>
  </si>
  <si>
    <t>Hilma</t>
  </si>
  <si>
    <t>Marcello</t>
  </si>
  <si>
    <t>Fernande</t>
  </si>
  <si>
    <t>Rast</t>
  </si>
  <si>
    <t>Jeanene</t>
  </si>
  <si>
    <t>Brauer</t>
  </si>
  <si>
    <t>a</t>
    <phoneticPr fontId="1" type="noConversion"/>
  </si>
  <si>
    <t>b</t>
    <phoneticPr fontId="1" type="noConversion"/>
  </si>
  <si>
    <t>Mande</t>
    <phoneticPr fontId="1" type="noConversion"/>
  </si>
  <si>
    <t>Quills</t>
    <phoneticPr fontId="1" type="noConversion"/>
  </si>
  <si>
    <t>c</t>
    <phoneticPr fontId="1" type="noConversion"/>
  </si>
  <si>
    <t>c</t>
    <phoneticPr fontId="1" type="noConversion"/>
  </si>
  <si>
    <t>Q4</t>
    <phoneticPr fontId="1" type="noConversion"/>
  </si>
  <si>
    <t>Q1</t>
    <phoneticPr fontId="1" type="noConversion"/>
  </si>
  <si>
    <t>Q2</t>
    <phoneticPr fontId="1" type="noConversion"/>
  </si>
  <si>
    <t>Q3</t>
    <phoneticPr fontId="1" type="noConversion"/>
  </si>
  <si>
    <t>Beginning Level</t>
    <phoneticPr fontId="1" type="noConversion"/>
  </si>
  <si>
    <t>Median Level</t>
    <phoneticPr fontId="1" type="noConversion"/>
  </si>
  <si>
    <t>Advance Level</t>
    <phoneticPr fontId="1" type="noConversion"/>
  </si>
  <si>
    <t>Q4</t>
    <phoneticPr fontId="1" type="noConversion"/>
  </si>
  <si>
    <t>Q5</t>
    <phoneticPr fontId="1" type="noConversion"/>
  </si>
  <si>
    <t>Q6</t>
    <phoneticPr fontId="1" type="noConversion"/>
  </si>
  <si>
    <t>Total Level</t>
    <phoneticPr fontId="1" type="noConversion"/>
  </si>
  <si>
    <t>Total student</t>
  </si>
  <si>
    <t>Total Completed</t>
  </si>
  <si>
    <t xml:space="preserve">Complete Rate </t>
  </si>
  <si>
    <t>All</t>
  </si>
  <si>
    <t>Summary</t>
  </si>
  <si>
    <t>Q4</t>
  </si>
  <si>
    <t>Q1</t>
  </si>
  <si>
    <t>Q5</t>
  </si>
  <si>
    <t>Q6</t>
  </si>
  <si>
    <t>Q7</t>
  </si>
  <si>
    <t>Q8</t>
  </si>
  <si>
    <t>Q9</t>
  </si>
  <si>
    <t>Q10</t>
  </si>
  <si>
    <t>ID</t>
  </si>
  <si>
    <t xml:space="preserve">First </t>
  </si>
  <si>
    <t>Second</t>
  </si>
  <si>
    <t>Q2</t>
  </si>
  <si>
    <t>Q3</t>
  </si>
  <si>
    <t>A</t>
  </si>
  <si>
    <t>Ad</t>
  </si>
  <si>
    <t>Md</t>
  </si>
  <si>
    <t>Bg</t>
  </si>
  <si>
    <t>Total Quiz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</si>
</sst>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2"/>
      <scheme val="minor"/>
    </font>
    <font>
      <sz val="11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3" fillId="2" borderId="0" xfId="0" applyFont="1" applyFill="1">
      <alignment vertical="center"/>
    </xf>
    <xf numFmtId="9" fontId="0" fillId="2" borderId="0" xfId="1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</a:t>
            </a:r>
            <a:r>
              <a:rPr lang="en-US" altLang="zh-CN"/>
              <a:t>uiz Completed</a:t>
            </a:r>
            <a:r>
              <a:rPr lang="en-US" altLang="zh-CN" baseline="0"/>
              <a:t>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0B52-4E82-B56D-9B4A912227F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2-0B52-4E82-B56D-9B4A912227F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0B52-4E82-B56D-9B4A912227F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4-0B52-4E82-B56D-9B4A912227F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0B52-4E82-B56D-9B4A912227F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6-0B52-4E82-B56D-9B4A912227F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B52-4E82-B56D-9B4A912227F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0B52-4E82-B56D-9B4A912227F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9-0B52-4E82-B56D-9B4A912227F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5F2-4D4D-9DAA-F2DD8A7E3BA2}"/>
              </c:ext>
            </c:extLst>
          </c:dPt>
          <c:cat>
            <c:strRef>
              <c:f>('Student list'!$D$2:$L$2,'Student list'!$O$2)</c:f>
              <c:strCache>
                <c:ptCount val="10"/>
                <c:pt idx="0">
                  <c:v>Q1</c:v>
                </c:pt>
                <c:pt idx="1">
                  <c:v>Q2</c:v>
                </c:pt>
                <c:pt idx="2">
                  <c:v>Bg</c:v>
                </c:pt>
                <c:pt idx="3">
                  <c:v>Q3</c:v>
                </c:pt>
                <c:pt idx="4">
                  <c:v>Q4</c:v>
                </c:pt>
                <c:pt idx="5">
                  <c:v>Md</c:v>
                </c:pt>
                <c:pt idx="6">
                  <c:v>Q5</c:v>
                </c:pt>
                <c:pt idx="7">
                  <c:v>Q6</c:v>
                </c:pt>
                <c:pt idx="8">
                  <c:v>Ad</c:v>
                </c:pt>
                <c:pt idx="9">
                  <c:v>All</c:v>
                </c:pt>
              </c:strCache>
            </c:strRef>
          </c:cat>
          <c:val>
            <c:numRef>
              <c:f>('Student list'!$D$25:$L$25,'Student list'!$O$25)</c:f>
              <c:numCache>
                <c:formatCode>0%</c:formatCode>
                <c:ptCount val="10"/>
                <c:pt idx="0">
                  <c:v>0.5</c:v>
                </c:pt>
                <c:pt idx="1">
                  <c:v>0.65</c:v>
                </c:pt>
                <c:pt idx="2">
                  <c:v>0.8</c:v>
                </c:pt>
                <c:pt idx="3">
                  <c:v>0.45</c:v>
                </c:pt>
                <c:pt idx="4">
                  <c:v>0.55000000000000004</c:v>
                </c:pt>
                <c:pt idx="5">
                  <c:v>0.8</c:v>
                </c:pt>
                <c:pt idx="6">
                  <c:v>0.5</c:v>
                </c:pt>
                <c:pt idx="7">
                  <c:v>0.65</c:v>
                </c:pt>
                <c:pt idx="8">
                  <c:v>0.9</c:v>
                </c:pt>
                <c:pt idx="9">
                  <c:v>0.6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011-4EC0-A253-599789C2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9261472"/>
        <c:axId val="1078612336"/>
        <c:extLst/>
      </c:barChart>
      <c:catAx>
        <c:axId val="10892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8612336"/>
        <c:crosses val="autoZero"/>
        <c:auto val="1"/>
        <c:lblAlgn val="ctr"/>
        <c:lblOffset val="100"/>
        <c:noMultiLvlLbl val="0"/>
      </c:catAx>
      <c:valAx>
        <c:axId val="10786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92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Histogram of Total Completed Quiz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clusteredColumn" uniqueId="{A2BD8CA2-F1EE-44E1-AEA6-D19ADAC2EDA7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_);[红色](#,##0)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100013</xdr:colOff>
      <xdr:row>2</xdr:row>
      <xdr:rowOff>22412</xdr:rowOff>
    </xdr:from>
    <xdr:to>
      <xdr:col>26</xdr:col>
      <xdr:colOff>22413</xdr:colOff>
      <xdr:row>22</xdr:row>
      <xdr:rowOff>45384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1095375</xdr:colOff>
          <xdr:row>29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Sheets Clean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8</xdr:col>
          <xdr:colOff>19050</xdr:colOff>
          <xdr:row>31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Paste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29</xdr:row>
          <xdr:rowOff>0</xdr:rowOff>
        </xdr:from>
        <xdr:to>
          <xdr:col>11</xdr:col>
          <xdr:colOff>0</xdr:colOff>
          <xdr:row>31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Check 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161925</xdr:rowOff>
        </xdr:from>
        <xdr:to>
          <xdr:col>14</xdr:col>
          <xdr:colOff>28575</xdr:colOff>
          <xdr:row>30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Remove Uncompleted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95250</xdr:colOff>
      <xdr:row>23</xdr:row>
      <xdr:rowOff>96370</xdr:rowOff>
    </xdr:from>
    <xdr:to>
      <xdr:col>25</xdr:col>
      <xdr:colOff>649941</xdr:colOff>
      <xdr:row>43</xdr:row>
      <xdr:rowOff>11206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87225" y="4258795"/>
              <a:ext cx="7412691" cy="35343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7"/>
  <sheetViews>
    <sheetView workbookViewId="0">
      <selection sqref="A1:G25"/>
    </sheetView>
  </sheetViews>
  <sheetFormatPr defaultRowHeight="14.25" x14ac:dyDescent="0.2"/>
  <cols>
    <col min="1" max="1" width="9" style="1"/>
    <col min="4" max="6" width="9" style="1"/>
    <col min="8" max="8" width="9.375" bestFit="1" customWidth="1"/>
    <col min="9" max="9" width="10" bestFit="1" customWidth="1"/>
  </cols>
  <sheetData>
    <row r="1" spans="1:8" x14ac:dyDescent="0.2">
      <c r="A1" s="1" t="s">
        <v>76</v>
      </c>
      <c r="B1" t="s">
        <v>77</v>
      </c>
      <c r="C1" t="s">
        <v>78</v>
      </c>
      <c r="D1" s="1" t="s">
        <v>69</v>
      </c>
      <c r="E1" s="1" t="s">
        <v>79</v>
      </c>
      <c r="F1" s="1" t="s">
        <v>80</v>
      </c>
      <c r="G1" t="s">
        <v>68</v>
      </c>
    </row>
    <row r="2" spans="1:8" x14ac:dyDescent="0.2">
      <c r="A2" s="1">
        <v>7</v>
      </c>
      <c r="B2" t="s">
        <v>18</v>
      </c>
      <c r="C2" t="s">
        <v>19</v>
      </c>
      <c r="D2" s="1" t="s">
        <v>81</v>
      </c>
      <c r="E2" s="1" t="s">
        <v>81</v>
      </c>
      <c r="F2" s="1" t="s">
        <v>81</v>
      </c>
      <c r="G2" t="s">
        <v>81</v>
      </c>
      <c r="H2">
        <v>1</v>
      </c>
    </row>
    <row r="3" spans="1:8" x14ac:dyDescent="0.2">
      <c r="A3" s="1">
        <v>15</v>
      </c>
      <c r="B3" t="s">
        <v>34</v>
      </c>
      <c r="C3" t="s">
        <v>35</v>
      </c>
      <c r="D3" s="1" t="s">
        <v>81</v>
      </c>
      <c r="E3" s="1" t="s">
        <v>81</v>
      </c>
      <c r="F3" s="1" t="s">
        <v>81</v>
      </c>
      <c r="G3" t="s">
        <v>81</v>
      </c>
      <c r="H3">
        <v>1</v>
      </c>
    </row>
    <row r="4" spans="1:8" x14ac:dyDescent="0.2">
      <c r="A4" s="1">
        <v>11</v>
      </c>
      <c r="B4" t="s">
        <v>26</v>
      </c>
      <c r="C4" t="s">
        <v>27</v>
      </c>
      <c r="D4" s="1" t="s">
        <v>81</v>
      </c>
      <c r="E4" s="1" t="s">
        <v>81</v>
      </c>
      <c r="F4" s="1" t="s">
        <v>81</v>
      </c>
      <c r="G4" t="s">
        <v>81</v>
      </c>
      <c r="H4">
        <v>1</v>
      </c>
    </row>
    <row r="5" spans="1:8" x14ac:dyDescent="0.2">
      <c r="A5" s="1">
        <v>4</v>
      </c>
      <c r="B5" t="s">
        <v>12</v>
      </c>
      <c r="C5" t="s">
        <v>13</v>
      </c>
      <c r="D5" s="1" t="s">
        <v>81</v>
      </c>
      <c r="E5" s="1" t="s">
        <v>81</v>
      </c>
      <c r="F5" s="1" t="s">
        <v>81</v>
      </c>
      <c r="G5" t="s">
        <v>81</v>
      </c>
      <c r="H5">
        <v>1</v>
      </c>
    </row>
    <row r="6" spans="1:8" x14ac:dyDescent="0.2">
      <c r="A6" s="1">
        <v>5</v>
      </c>
      <c r="B6" t="s">
        <v>14</v>
      </c>
      <c r="C6" t="s">
        <v>15</v>
      </c>
      <c r="D6" s="1" t="s">
        <v>81</v>
      </c>
      <c r="E6" s="1" t="s">
        <v>81</v>
      </c>
      <c r="F6" s="1" t="s">
        <v>81</v>
      </c>
      <c r="G6" t="s">
        <v>81</v>
      </c>
      <c r="H6">
        <v>1</v>
      </c>
    </row>
    <row r="7" spans="1:8" x14ac:dyDescent="0.2">
      <c r="A7" s="1">
        <v>7</v>
      </c>
      <c r="B7" t="s">
        <v>18</v>
      </c>
      <c r="C7" t="s">
        <v>19</v>
      </c>
      <c r="D7" s="1" t="s">
        <v>81</v>
      </c>
      <c r="E7" s="1" t="s">
        <v>81</v>
      </c>
      <c r="F7" s="1" t="s">
        <v>81</v>
      </c>
      <c r="G7" t="s">
        <v>81</v>
      </c>
      <c r="H7">
        <v>1</v>
      </c>
    </row>
    <row r="8" spans="1:8" x14ac:dyDescent="0.2">
      <c r="A8" s="1">
        <v>4</v>
      </c>
      <c r="B8" t="s">
        <v>12</v>
      </c>
      <c r="C8" t="s">
        <v>13</v>
      </c>
      <c r="D8" s="1" t="s">
        <v>81</v>
      </c>
      <c r="E8" s="1" t="s">
        <v>81</v>
      </c>
      <c r="F8" s="1" t="s">
        <v>81</v>
      </c>
      <c r="G8" t="s">
        <v>81</v>
      </c>
      <c r="H8">
        <v>1</v>
      </c>
    </row>
    <row r="9" spans="1:8" x14ac:dyDescent="0.2">
      <c r="A9" s="1">
        <v>17</v>
      </c>
      <c r="B9" t="s">
        <v>38</v>
      </c>
      <c r="C9" t="s">
        <v>39</v>
      </c>
      <c r="D9" s="1" t="s">
        <v>81</v>
      </c>
      <c r="E9" s="1" t="s">
        <v>81</v>
      </c>
      <c r="F9" s="1" t="s">
        <v>81</v>
      </c>
      <c r="G9" t="s">
        <v>81</v>
      </c>
      <c r="H9">
        <v>1</v>
      </c>
    </row>
    <row r="10" spans="1:8" x14ac:dyDescent="0.2">
      <c r="A10" s="1">
        <v>17</v>
      </c>
      <c r="B10" t="s">
        <v>38</v>
      </c>
      <c r="C10" t="s">
        <v>39</v>
      </c>
      <c r="D10" s="1" t="s">
        <v>81</v>
      </c>
      <c r="E10" s="1" t="s">
        <v>81</v>
      </c>
      <c r="F10" s="1" t="s">
        <v>81</v>
      </c>
      <c r="G10" t="s">
        <v>81</v>
      </c>
      <c r="H10">
        <v>1</v>
      </c>
    </row>
    <row r="11" spans="1:8" x14ac:dyDescent="0.2">
      <c r="A11" s="1">
        <v>8</v>
      </c>
      <c r="B11" t="s">
        <v>20</v>
      </c>
      <c r="C11" t="s">
        <v>21</v>
      </c>
      <c r="D11" s="1" t="s">
        <v>81</v>
      </c>
      <c r="E11" s="1" t="s">
        <v>81</v>
      </c>
      <c r="F11" s="1" t="s">
        <v>81</v>
      </c>
      <c r="G11" t="s">
        <v>81</v>
      </c>
      <c r="H11">
        <v>1</v>
      </c>
    </row>
    <row r="12" spans="1:8" x14ac:dyDescent="0.2">
      <c r="A12" s="1">
        <v>13</v>
      </c>
      <c r="B12" t="s">
        <v>30</v>
      </c>
      <c r="C12" t="s">
        <v>31</v>
      </c>
      <c r="D12" s="1" t="s">
        <v>81</v>
      </c>
      <c r="E12" s="1" t="s">
        <v>81</v>
      </c>
      <c r="F12" s="1" t="s">
        <v>81</v>
      </c>
      <c r="G12" t="s">
        <v>81</v>
      </c>
      <c r="H12">
        <v>1</v>
      </c>
    </row>
    <row r="13" spans="1:8" x14ac:dyDescent="0.2">
      <c r="A13" s="1">
        <v>15</v>
      </c>
      <c r="B13" t="s">
        <v>34</v>
      </c>
      <c r="C13" t="s">
        <v>35</v>
      </c>
      <c r="D13" s="1" t="s">
        <v>81</v>
      </c>
      <c r="E13" s="1" t="s">
        <v>81</v>
      </c>
      <c r="F13" s="1" t="s">
        <v>81</v>
      </c>
      <c r="G13" t="s">
        <v>81</v>
      </c>
      <c r="H13">
        <v>1</v>
      </c>
    </row>
    <row r="14" spans="1:8" x14ac:dyDescent="0.2">
      <c r="A14" s="1">
        <v>4</v>
      </c>
      <c r="B14" t="s">
        <v>12</v>
      </c>
      <c r="C14" t="s">
        <v>13</v>
      </c>
      <c r="D14" s="1" t="s">
        <v>81</v>
      </c>
      <c r="E14" s="1" t="s">
        <v>81</v>
      </c>
      <c r="F14" s="1" t="s">
        <v>81</v>
      </c>
      <c r="G14" t="s">
        <v>81</v>
      </c>
      <c r="H14">
        <v>1</v>
      </c>
    </row>
    <row r="15" spans="1:8" x14ac:dyDescent="0.2">
      <c r="A15" s="1">
        <v>16</v>
      </c>
      <c r="B15" t="s">
        <v>36</v>
      </c>
      <c r="C15" t="s">
        <v>37</v>
      </c>
      <c r="D15" s="1" t="s">
        <v>81</v>
      </c>
      <c r="E15" s="1" t="s">
        <v>81</v>
      </c>
      <c r="F15" s="1" t="s">
        <v>81</v>
      </c>
      <c r="G15" t="s">
        <v>81</v>
      </c>
      <c r="H15">
        <v>1</v>
      </c>
    </row>
    <row r="16" spans="1:8" x14ac:dyDescent="0.2">
      <c r="A16" s="1">
        <v>8</v>
      </c>
      <c r="B16" t="s">
        <v>20</v>
      </c>
      <c r="C16" t="s">
        <v>21</v>
      </c>
      <c r="D16" s="1" t="s">
        <v>81</v>
      </c>
      <c r="E16" s="1" t="s">
        <v>81</v>
      </c>
      <c r="F16" s="1" t="s">
        <v>81</v>
      </c>
      <c r="G16" t="s">
        <v>81</v>
      </c>
      <c r="H16">
        <v>1</v>
      </c>
    </row>
    <row r="17" spans="1:8" x14ac:dyDescent="0.2">
      <c r="A17" s="1">
        <v>3</v>
      </c>
      <c r="B17" t="s">
        <v>10</v>
      </c>
      <c r="C17" t="s">
        <v>11</v>
      </c>
      <c r="D17" s="1" t="s">
        <v>81</v>
      </c>
      <c r="E17" s="1" t="s">
        <v>81</v>
      </c>
      <c r="F17" s="1" t="s">
        <v>81</v>
      </c>
      <c r="G17" t="s">
        <v>81</v>
      </c>
      <c r="H1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"/>
  <sheetViews>
    <sheetView workbookViewId="0">
      <selection sqref="A1:H26"/>
    </sheetView>
  </sheetViews>
  <sheetFormatPr defaultRowHeight="14.25" x14ac:dyDescent="0.2"/>
  <cols>
    <col min="7" max="7" width="9" style="2"/>
  </cols>
  <sheetData>
    <row r="1" spans="1:9" x14ac:dyDescent="0.2">
      <c r="A1" t="s">
        <v>76</v>
      </c>
      <c r="B1" t="s">
        <v>77</v>
      </c>
      <c r="C1" t="s">
        <v>78</v>
      </c>
      <c r="D1" t="s">
        <v>69</v>
      </c>
      <c r="E1" t="s">
        <v>79</v>
      </c>
      <c r="F1" t="s">
        <v>80</v>
      </c>
      <c r="G1" s="2" t="s">
        <v>68</v>
      </c>
      <c r="H1" t="s">
        <v>70</v>
      </c>
    </row>
    <row r="2" spans="1:9" x14ac:dyDescent="0.2">
      <c r="A2">
        <v>11</v>
      </c>
      <c r="B2" t="s">
        <v>26</v>
      </c>
      <c r="C2" t="s">
        <v>27</v>
      </c>
      <c r="D2" t="s">
        <v>81</v>
      </c>
      <c r="E2" t="s">
        <v>81</v>
      </c>
      <c r="F2" t="s">
        <v>81</v>
      </c>
      <c r="G2" s="2" t="s">
        <v>81</v>
      </c>
      <c r="H2" t="s">
        <v>81</v>
      </c>
      <c r="I2">
        <v>1</v>
      </c>
    </row>
    <row r="3" spans="1:9" x14ac:dyDescent="0.2">
      <c r="A3">
        <v>19</v>
      </c>
      <c r="B3" t="s">
        <v>42</v>
      </c>
      <c r="C3" t="s">
        <v>43</v>
      </c>
      <c r="D3" t="s">
        <v>81</v>
      </c>
      <c r="E3" t="s">
        <v>81</v>
      </c>
      <c r="F3" t="s">
        <v>81</v>
      </c>
      <c r="G3" s="2" t="s">
        <v>81</v>
      </c>
      <c r="H3" t="s">
        <v>81</v>
      </c>
      <c r="I3">
        <v>1</v>
      </c>
    </row>
    <row r="4" spans="1:9" x14ac:dyDescent="0.2">
      <c r="A4">
        <v>7</v>
      </c>
      <c r="B4" t="s">
        <v>18</v>
      </c>
      <c r="C4" t="s">
        <v>19</v>
      </c>
      <c r="D4" t="s">
        <v>81</v>
      </c>
      <c r="E4" t="s">
        <v>81</v>
      </c>
      <c r="F4" t="s">
        <v>81</v>
      </c>
      <c r="G4" s="2" t="s">
        <v>81</v>
      </c>
      <c r="H4" t="s">
        <v>81</v>
      </c>
      <c r="I4">
        <v>1</v>
      </c>
    </row>
    <row r="5" spans="1:9" x14ac:dyDescent="0.2">
      <c r="A5">
        <v>20</v>
      </c>
      <c r="B5" t="s">
        <v>44</v>
      </c>
      <c r="C5" t="s">
        <v>45</v>
      </c>
      <c r="D5" t="s">
        <v>81</v>
      </c>
      <c r="E5" t="s">
        <v>81</v>
      </c>
      <c r="F5" t="s">
        <v>81</v>
      </c>
      <c r="G5" s="2" t="s">
        <v>81</v>
      </c>
      <c r="H5" t="s">
        <v>81</v>
      </c>
      <c r="I5">
        <v>1</v>
      </c>
    </row>
    <row r="6" spans="1:9" x14ac:dyDescent="0.2">
      <c r="A6">
        <v>12</v>
      </c>
      <c r="B6" t="s">
        <v>28</v>
      </c>
      <c r="C6" t="s">
        <v>29</v>
      </c>
      <c r="D6" t="s">
        <v>81</v>
      </c>
      <c r="E6" t="s">
        <v>81</v>
      </c>
      <c r="F6" t="s">
        <v>81</v>
      </c>
      <c r="G6" s="2" t="s">
        <v>81</v>
      </c>
      <c r="H6" t="s">
        <v>81</v>
      </c>
      <c r="I6">
        <v>1</v>
      </c>
    </row>
    <row r="7" spans="1:9" x14ac:dyDescent="0.2">
      <c r="A7">
        <v>18</v>
      </c>
      <c r="B7" t="s">
        <v>40</v>
      </c>
      <c r="C7" t="s">
        <v>41</v>
      </c>
      <c r="D7" t="s">
        <v>81</v>
      </c>
      <c r="E7" t="s">
        <v>81</v>
      </c>
      <c r="F7" t="s">
        <v>81</v>
      </c>
      <c r="G7" s="2" t="s">
        <v>81</v>
      </c>
      <c r="H7" t="s">
        <v>81</v>
      </c>
      <c r="I7">
        <v>1</v>
      </c>
    </row>
    <row r="8" spans="1:9" x14ac:dyDescent="0.2">
      <c r="A8">
        <v>14</v>
      </c>
      <c r="B8" t="s">
        <v>32</v>
      </c>
      <c r="C8" t="s">
        <v>33</v>
      </c>
      <c r="D8" t="s">
        <v>81</v>
      </c>
      <c r="E8" t="s">
        <v>81</v>
      </c>
      <c r="F8" t="s">
        <v>81</v>
      </c>
      <c r="G8" s="2" t="s">
        <v>81</v>
      </c>
      <c r="H8" t="s">
        <v>81</v>
      </c>
      <c r="I8">
        <v>1</v>
      </c>
    </row>
    <row r="9" spans="1:9" x14ac:dyDescent="0.2">
      <c r="A9">
        <v>20</v>
      </c>
      <c r="B9" t="s">
        <v>44</v>
      </c>
      <c r="C9" t="s">
        <v>45</v>
      </c>
      <c r="D9" t="s">
        <v>81</v>
      </c>
      <c r="E9" t="s">
        <v>81</v>
      </c>
      <c r="F9" t="s">
        <v>81</v>
      </c>
      <c r="G9" s="2" t="s">
        <v>81</v>
      </c>
      <c r="H9" t="s">
        <v>81</v>
      </c>
      <c r="I9">
        <v>1</v>
      </c>
    </row>
    <row r="10" spans="1:9" x14ac:dyDescent="0.2">
      <c r="A10">
        <v>3</v>
      </c>
      <c r="B10" t="s">
        <v>10</v>
      </c>
      <c r="C10" t="s">
        <v>11</v>
      </c>
      <c r="D10" t="s">
        <v>81</v>
      </c>
      <c r="E10" t="s">
        <v>81</v>
      </c>
      <c r="F10" t="s">
        <v>81</v>
      </c>
      <c r="G10" s="2" t="s">
        <v>81</v>
      </c>
      <c r="H10" t="s">
        <v>81</v>
      </c>
      <c r="I10">
        <v>1</v>
      </c>
    </row>
    <row r="11" spans="1:9" x14ac:dyDescent="0.2">
      <c r="A11">
        <v>5</v>
      </c>
      <c r="B11" t="s">
        <v>14</v>
      </c>
      <c r="C11" t="s">
        <v>15</v>
      </c>
      <c r="D11" t="s">
        <v>81</v>
      </c>
      <c r="E11" t="s">
        <v>81</v>
      </c>
      <c r="F11" t="s">
        <v>81</v>
      </c>
      <c r="G11" s="2" t="s">
        <v>81</v>
      </c>
      <c r="H11" t="s">
        <v>81</v>
      </c>
      <c r="I11">
        <v>1</v>
      </c>
    </row>
    <row r="12" spans="1:9" x14ac:dyDescent="0.2">
      <c r="A12">
        <v>17</v>
      </c>
      <c r="B12" t="s">
        <v>38</v>
      </c>
      <c r="C12" t="s">
        <v>39</v>
      </c>
      <c r="D12" t="s">
        <v>81</v>
      </c>
      <c r="E12" t="s">
        <v>81</v>
      </c>
      <c r="F12" t="s">
        <v>81</v>
      </c>
      <c r="G12" s="2" t="s">
        <v>81</v>
      </c>
      <c r="H12" t="s">
        <v>81</v>
      </c>
      <c r="I12">
        <v>1</v>
      </c>
    </row>
    <row r="13" spans="1:9" x14ac:dyDescent="0.2">
      <c r="A13">
        <v>7</v>
      </c>
      <c r="B13" t="s">
        <v>18</v>
      </c>
      <c r="C13" t="s">
        <v>19</v>
      </c>
      <c r="D13" t="s">
        <v>81</v>
      </c>
      <c r="E13" t="s">
        <v>81</v>
      </c>
      <c r="F13" t="s">
        <v>81</v>
      </c>
      <c r="G13" s="2" t="s">
        <v>81</v>
      </c>
      <c r="H13" t="s">
        <v>81</v>
      </c>
      <c r="I13">
        <v>1</v>
      </c>
    </row>
    <row r="14" spans="1:9" x14ac:dyDescent="0.2">
      <c r="A14">
        <v>8</v>
      </c>
      <c r="B14" t="s">
        <v>20</v>
      </c>
      <c r="C14" t="s">
        <v>21</v>
      </c>
      <c r="D14" t="s">
        <v>81</v>
      </c>
      <c r="E14" t="s">
        <v>81</v>
      </c>
      <c r="F14" t="s">
        <v>81</v>
      </c>
      <c r="G14" s="2" t="s">
        <v>81</v>
      </c>
      <c r="H14" t="s">
        <v>81</v>
      </c>
      <c r="I14">
        <v>1</v>
      </c>
    </row>
    <row r="15" spans="1:9" x14ac:dyDescent="0.2">
      <c r="A15">
        <v>20</v>
      </c>
      <c r="B15" t="s">
        <v>44</v>
      </c>
      <c r="C15" t="s">
        <v>45</v>
      </c>
      <c r="D15" t="s">
        <v>81</v>
      </c>
      <c r="E15" t="s">
        <v>81</v>
      </c>
      <c r="F15" t="s">
        <v>81</v>
      </c>
      <c r="G15" s="2" t="s">
        <v>81</v>
      </c>
      <c r="H15" t="s">
        <v>81</v>
      </c>
      <c r="I15">
        <v>1</v>
      </c>
    </row>
    <row r="16" spans="1:9" x14ac:dyDescent="0.2">
      <c r="A16">
        <v>2</v>
      </c>
      <c r="B16" t="s">
        <v>8</v>
      </c>
      <c r="C16" t="s">
        <v>9</v>
      </c>
      <c r="D16" t="s">
        <v>81</v>
      </c>
      <c r="E16" t="s">
        <v>81</v>
      </c>
      <c r="F16" t="s">
        <v>81</v>
      </c>
      <c r="G16" s="2" t="s">
        <v>81</v>
      </c>
      <c r="H16" t="s">
        <v>81</v>
      </c>
      <c r="I16">
        <v>1</v>
      </c>
    </row>
    <row r="17" spans="1:9" x14ac:dyDescent="0.2">
      <c r="A17">
        <v>20</v>
      </c>
      <c r="B17" t="s">
        <v>44</v>
      </c>
      <c r="C17" t="s">
        <v>45</v>
      </c>
      <c r="D17" t="s">
        <v>81</v>
      </c>
      <c r="E17" t="s">
        <v>81</v>
      </c>
      <c r="F17" t="s">
        <v>81</v>
      </c>
      <c r="G17" s="2" t="s">
        <v>81</v>
      </c>
      <c r="H17" t="s">
        <v>81</v>
      </c>
      <c r="I17">
        <v>1</v>
      </c>
    </row>
    <row r="18" spans="1:9" x14ac:dyDescent="0.2">
      <c r="A18">
        <v>15</v>
      </c>
      <c r="B18" t="s">
        <v>34</v>
      </c>
      <c r="C18" t="s">
        <v>35</v>
      </c>
      <c r="D18" t="s">
        <v>81</v>
      </c>
      <c r="E18" t="s">
        <v>81</v>
      </c>
      <c r="F18" t="s">
        <v>81</v>
      </c>
      <c r="G18" s="2" t="s">
        <v>81</v>
      </c>
      <c r="H18" t="s">
        <v>81</v>
      </c>
      <c r="I18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13"/>
  <sheetViews>
    <sheetView workbookViewId="0">
      <selection sqref="A1:G22"/>
    </sheetView>
  </sheetViews>
  <sheetFormatPr defaultRowHeight="14.25" x14ac:dyDescent="0.2"/>
  <sheetData>
    <row r="1" spans="1:8" x14ac:dyDescent="0.2">
      <c r="A1" t="s">
        <v>76</v>
      </c>
      <c r="B1" t="s">
        <v>77</v>
      </c>
      <c r="C1" t="s">
        <v>78</v>
      </c>
      <c r="D1" t="s">
        <v>69</v>
      </c>
      <c r="E1" t="s">
        <v>79</v>
      </c>
      <c r="F1" t="s">
        <v>80</v>
      </c>
      <c r="G1" t="s">
        <v>68</v>
      </c>
    </row>
    <row r="2" spans="1:8" x14ac:dyDescent="0.2">
      <c r="A2">
        <v>12</v>
      </c>
      <c r="B2" t="s">
        <v>28</v>
      </c>
      <c r="C2" t="s">
        <v>29</v>
      </c>
      <c r="D2" t="s">
        <v>81</v>
      </c>
      <c r="E2" t="s">
        <v>81</v>
      </c>
      <c r="F2" t="s">
        <v>81</v>
      </c>
      <c r="G2" t="s">
        <v>81</v>
      </c>
      <c r="H2">
        <v>1</v>
      </c>
    </row>
    <row r="3" spans="1:8" x14ac:dyDescent="0.2">
      <c r="A3">
        <v>12</v>
      </c>
      <c r="B3" t="s">
        <v>28</v>
      </c>
      <c r="C3" t="s">
        <v>29</v>
      </c>
      <c r="D3" t="s">
        <v>81</v>
      </c>
      <c r="E3" t="s">
        <v>81</v>
      </c>
      <c r="F3" t="s">
        <v>81</v>
      </c>
      <c r="G3" t="s">
        <v>81</v>
      </c>
      <c r="H3">
        <v>1</v>
      </c>
    </row>
    <row r="4" spans="1:8" x14ac:dyDescent="0.2">
      <c r="A4">
        <v>17</v>
      </c>
      <c r="B4" t="s">
        <v>38</v>
      </c>
      <c r="C4" t="s">
        <v>39</v>
      </c>
      <c r="D4" t="s">
        <v>81</v>
      </c>
      <c r="E4" t="s">
        <v>81</v>
      </c>
      <c r="F4" t="s">
        <v>81</v>
      </c>
      <c r="G4" t="s">
        <v>81</v>
      </c>
      <c r="H4">
        <v>1</v>
      </c>
    </row>
    <row r="5" spans="1:8" x14ac:dyDescent="0.2">
      <c r="A5">
        <v>6</v>
      </c>
      <c r="B5" t="s">
        <v>16</v>
      </c>
      <c r="C5" t="s">
        <v>17</v>
      </c>
      <c r="D5" t="s">
        <v>81</v>
      </c>
      <c r="E5" t="s">
        <v>81</v>
      </c>
      <c r="F5" t="s">
        <v>81</v>
      </c>
      <c r="G5" t="s">
        <v>81</v>
      </c>
      <c r="H5">
        <v>1</v>
      </c>
    </row>
    <row r="6" spans="1:8" x14ac:dyDescent="0.2">
      <c r="A6">
        <v>6</v>
      </c>
      <c r="B6" t="s">
        <v>16</v>
      </c>
      <c r="C6" t="s">
        <v>17</v>
      </c>
      <c r="D6" t="s">
        <v>81</v>
      </c>
      <c r="E6" t="s">
        <v>81</v>
      </c>
      <c r="F6" t="s">
        <v>81</v>
      </c>
      <c r="G6" t="s">
        <v>81</v>
      </c>
      <c r="H6">
        <v>1</v>
      </c>
    </row>
    <row r="7" spans="1:8" x14ac:dyDescent="0.2">
      <c r="A7">
        <v>6</v>
      </c>
      <c r="B7" t="s">
        <v>16</v>
      </c>
      <c r="C7" t="s">
        <v>17</v>
      </c>
      <c r="D7" t="s">
        <v>81</v>
      </c>
      <c r="E7" t="s">
        <v>81</v>
      </c>
      <c r="F7" t="s">
        <v>81</v>
      </c>
      <c r="G7" t="s">
        <v>81</v>
      </c>
      <c r="H7">
        <v>1</v>
      </c>
    </row>
    <row r="8" spans="1:8" x14ac:dyDescent="0.2">
      <c r="A8">
        <v>8</v>
      </c>
      <c r="B8" t="s">
        <v>20</v>
      </c>
      <c r="C8" t="s">
        <v>21</v>
      </c>
      <c r="D8" t="s">
        <v>81</v>
      </c>
      <c r="E8" t="s">
        <v>81</v>
      </c>
      <c r="F8" t="s">
        <v>81</v>
      </c>
      <c r="G8" t="s">
        <v>81</v>
      </c>
      <c r="H8">
        <v>1</v>
      </c>
    </row>
    <row r="9" spans="1:8" x14ac:dyDescent="0.2">
      <c r="A9">
        <v>19</v>
      </c>
      <c r="B9" t="s">
        <v>42</v>
      </c>
      <c r="C9" t="s">
        <v>43</v>
      </c>
      <c r="D9" t="s">
        <v>81</v>
      </c>
      <c r="E9" t="s">
        <v>81</v>
      </c>
      <c r="F9" t="s">
        <v>81</v>
      </c>
      <c r="G9" t="s">
        <v>81</v>
      </c>
      <c r="H9">
        <v>1</v>
      </c>
    </row>
    <row r="10" spans="1:8" x14ac:dyDescent="0.2">
      <c r="A10">
        <v>16</v>
      </c>
      <c r="B10" t="s">
        <v>36</v>
      </c>
      <c r="C10" t="s">
        <v>37</v>
      </c>
      <c r="D10" t="s">
        <v>81</v>
      </c>
      <c r="E10" t="s">
        <v>81</v>
      </c>
      <c r="F10" t="s">
        <v>81</v>
      </c>
      <c r="G10" t="s">
        <v>81</v>
      </c>
      <c r="H10">
        <v>1</v>
      </c>
    </row>
    <row r="11" spans="1:8" x14ac:dyDescent="0.2">
      <c r="A11">
        <v>18</v>
      </c>
      <c r="B11" t="s">
        <v>40</v>
      </c>
      <c r="C11" t="s">
        <v>41</v>
      </c>
      <c r="D11" t="s">
        <v>81</v>
      </c>
      <c r="E11" t="s">
        <v>81</v>
      </c>
      <c r="F11" t="s">
        <v>81</v>
      </c>
      <c r="G11" t="s">
        <v>81</v>
      </c>
      <c r="H11">
        <v>1</v>
      </c>
    </row>
    <row r="12" spans="1:8" x14ac:dyDescent="0.2">
      <c r="A12">
        <v>10</v>
      </c>
      <c r="B12" t="s">
        <v>24</v>
      </c>
      <c r="C12" t="s">
        <v>25</v>
      </c>
      <c r="D12" t="s">
        <v>81</v>
      </c>
      <c r="E12" t="s">
        <v>81</v>
      </c>
      <c r="F12" t="s">
        <v>81</v>
      </c>
      <c r="G12" t="s">
        <v>81</v>
      </c>
      <c r="H12">
        <v>1</v>
      </c>
    </row>
    <row r="13" spans="1:8" x14ac:dyDescent="0.2">
      <c r="A13">
        <v>3</v>
      </c>
      <c r="B13" t="s">
        <v>10</v>
      </c>
      <c r="C13" t="s">
        <v>11</v>
      </c>
      <c r="D13" t="s">
        <v>81</v>
      </c>
      <c r="E13" t="s">
        <v>81</v>
      </c>
      <c r="F13" t="s">
        <v>81</v>
      </c>
      <c r="G13" t="s">
        <v>81</v>
      </c>
      <c r="H13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14"/>
  <sheetViews>
    <sheetView workbookViewId="0">
      <selection sqref="A1:I29"/>
    </sheetView>
  </sheetViews>
  <sheetFormatPr defaultRowHeight="14.25" x14ac:dyDescent="0.2"/>
  <sheetData>
    <row r="1" spans="1:10" x14ac:dyDescent="0.2">
      <c r="A1" t="s">
        <v>76</v>
      </c>
      <c r="B1" t="s">
        <v>77</v>
      </c>
      <c r="C1" t="s">
        <v>78</v>
      </c>
      <c r="D1" t="s">
        <v>69</v>
      </c>
      <c r="E1" t="s">
        <v>79</v>
      </c>
      <c r="F1" t="s">
        <v>80</v>
      </c>
      <c r="G1" t="s">
        <v>68</v>
      </c>
      <c r="H1" t="s">
        <v>70</v>
      </c>
      <c r="I1" t="s">
        <v>71</v>
      </c>
    </row>
    <row r="2" spans="1:10" x14ac:dyDescent="0.2">
      <c r="A2">
        <v>9</v>
      </c>
      <c r="B2" t="s">
        <v>22</v>
      </c>
      <c r="C2" t="s">
        <v>23</v>
      </c>
      <c r="D2" t="s">
        <v>81</v>
      </c>
      <c r="E2" t="s">
        <v>81</v>
      </c>
      <c r="F2" t="s">
        <v>81</v>
      </c>
      <c r="G2" t="s">
        <v>81</v>
      </c>
      <c r="H2" t="s">
        <v>81</v>
      </c>
      <c r="I2" t="s">
        <v>81</v>
      </c>
      <c r="J2">
        <v>1</v>
      </c>
    </row>
    <row r="3" spans="1:10" x14ac:dyDescent="0.2">
      <c r="A3">
        <v>12</v>
      </c>
      <c r="B3" t="s">
        <v>28</v>
      </c>
      <c r="C3" t="s">
        <v>29</v>
      </c>
      <c r="D3" t="s">
        <v>81</v>
      </c>
      <c r="E3" t="s">
        <v>81</v>
      </c>
      <c r="F3" t="s">
        <v>81</v>
      </c>
      <c r="G3" t="s">
        <v>81</v>
      </c>
      <c r="H3" t="s">
        <v>81</v>
      </c>
      <c r="I3" t="s">
        <v>81</v>
      </c>
      <c r="J3">
        <v>1</v>
      </c>
    </row>
    <row r="4" spans="1:10" x14ac:dyDescent="0.2">
      <c r="A4">
        <v>7</v>
      </c>
      <c r="B4" t="s">
        <v>18</v>
      </c>
      <c r="C4" t="s">
        <v>19</v>
      </c>
      <c r="D4" t="s">
        <v>81</v>
      </c>
      <c r="E4" t="s">
        <v>81</v>
      </c>
      <c r="F4" t="s">
        <v>81</v>
      </c>
      <c r="G4" t="s">
        <v>81</v>
      </c>
      <c r="H4" t="s">
        <v>81</v>
      </c>
      <c r="I4" t="s">
        <v>81</v>
      </c>
      <c r="J4">
        <v>1</v>
      </c>
    </row>
    <row r="5" spans="1:10" x14ac:dyDescent="0.2">
      <c r="A5">
        <v>13</v>
      </c>
      <c r="B5" t="s">
        <v>30</v>
      </c>
      <c r="C5" t="s">
        <v>31</v>
      </c>
      <c r="D5" t="s">
        <v>81</v>
      </c>
      <c r="E5" t="s">
        <v>81</v>
      </c>
      <c r="F5" t="s">
        <v>81</v>
      </c>
      <c r="G5" t="s">
        <v>81</v>
      </c>
      <c r="H5" t="s">
        <v>81</v>
      </c>
      <c r="I5" t="s">
        <v>81</v>
      </c>
      <c r="J5">
        <v>1</v>
      </c>
    </row>
    <row r="6" spans="1:10" x14ac:dyDescent="0.2">
      <c r="A6">
        <v>19</v>
      </c>
      <c r="B6" t="s">
        <v>42</v>
      </c>
      <c r="C6" t="s">
        <v>43</v>
      </c>
      <c r="D6" t="s">
        <v>81</v>
      </c>
      <c r="E6" t="s">
        <v>81</v>
      </c>
      <c r="F6" t="s">
        <v>81</v>
      </c>
      <c r="G6" t="s">
        <v>81</v>
      </c>
      <c r="H6" t="s">
        <v>81</v>
      </c>
      <c r="I6" t="s">
        <v>81</v>
      </c>
      <c r="J6">
        <v>1</v>
      </c>
    </row>
    <row r="7" spans="1:10" x14ac:dyDescent="0.2">
      <c r="A7">
        <v>16</v>
      </c>
      <c r="B7" t="s">
        <v>36</v>
      </c>
      <c r="C7" t="s">
        <v>37</v>
      </c>
      <c r="D7" t="s">
        <v>81</v>
      </c>
      <c r="E7" t="s">
        <v>81</v>
      </c>
      <c r="F7" t="s">
        <v>81</v>
      </c>
      <c r="G7" t="s">
        <v>81</v>
      </c>
      <c r="H7" t="s">
        <v>81</v>
      </c>
      <c r="I7" t="s">
        <v>81</v>
      </c>
      <c r="J7">
        <v>1</v>
      </c>
    </row>
    <row r="8" spans="1:10" x14ac:dyDescent="0.2">
      <c r="A8">
        <v>14</v>
      </c>
      <c r="B8" t="s">
        <v>32</v>
      </c>
      <c r="C8" t="s">
        <v>33</v>
      </c>
      <c r="D8" t="s">
        <v>81</v>
      </c>
      <c r="E8" t="s">
        <v>81</v>
      </c>
      <c r="F8" t="s">
        <v>81</v>
      </c>
      <c r="G8" t="s">
        <v>81</v>
      </c>
      <c r="H8" t="s">
        <v>81</v>
      </c>
      <c r="I8" t="s">
        <v>81</v>
      </c>
      <c r="J8">
        <v>1</v>
      </c>
    </row>
    <row r="9" spans="1:10" x14ac:dyDescent="0.2">
      <c r="A9">
        <v>15</v>
      </c>
      <c r="B9" t="s">
        <v>34</v>
      </c>
      <c r="C9" t="s">
        <v>35</v>
      </c>
      <c r="D9" t="s">
        <v>81</v>
      </c>
      <c r="E9" t="s">
        <v>81</v>
      </c>
      <c r="F9" t="s">
        <v>81</v>
      </c>
      <c r="G9" t="s">
        <v>81</v>
      </c>
      <c r="H9" t="s">
        <v>81</v>
      </c>
      <c r="I9" t="s">
        <v>81</v>
      </c>
      <c r="J9">
        <v>1</v>
      </c>
    </row>
    <row r="10" spans="1:10" x14ac:dyDescent="0.2">
      <c r="A10">
        <v>2</v>
      </c>
      <c r="B10" t="s">
        <v>8</v>
      </c>
      <c r="C10" t="s">
        <v>9</v>
      </c>
      <c r="D10" t="s">
        <v>81</v>
      </c>
      <c r="E10" t="s">
        <v>81</v>
      </c>
      <c r="F10" t="s">
        <v>81</v>
      </c>
      <c r="G10" t="s">
        <v>81</v>
      </c>
      <c r="H10" t="s">
        <v>81</v>
      </c>
      <c r="I10" t="s">
        <v>81</v>
      </c>
      <c r="J10">
        <v>1</v>
      </c>
    </row>
    <row r="11" spans="1:10" x14ac:dyDescent="0.2">
      <c r="A11">
        <v>13</v>
      </c>
      <c r="B11" t="s">
        <v>30</v>
      </c>
      <c r="C11" t="s">
        <v>31</v>
      </c>
      <c r="D11" t="s">
        <v>81</v>
      </c>
      <c r="E11" t="s">
        <v>81</v>
      </c>
      <c r="F11" t="s">
        <v>81</v>
      </c>
      <c r="G11" t="s">
        <v>81</v>
      </c>
      <c r="H11" t="s">
        <v>81</v>
      </c>
      <c r="I11" t="s">
        <v>81</v>
      </c>
      <c r="J11">
        <v>1</v>
      </c>
    </row>
    <row r="12" spans="1:10" x14ac:dyDescent="0.2">
      <c r="A12">
        <v>16</v>
      </c>
      <c r="B12" t="s">
        <v>36</v>
      </c>
      <c r="C12" t="s">
        <v>37</v>
      </c>
      <c r="D12" t="s">
        <v>81</v>
      </c>
      <c r="E12" t="s">
        <v>81</v>
      </c>
      <c r="F12" t="s">
        <v>81</v>
      </c>
      <c r="G12" t="s">
        <v>81</v>
      </c>
      <c r="H12" t="s">
        <v>81</v>
      </c>
      <c r="I12" t="s">
        <v>81</v>
      </c>
      <c r="J12">
        <v>1</v>
      </c>
    </row>
    <row r="13" spans="1:10" x14ac:dyDescent="0.2">
      <c r="A13">
        <v>4</v>
      </c>
      <c r="B13" t="s">
        <v>12</v>
      </c>
      <c r="C13" t="s">
        <v>13</v>
      </c>
      <c r="D13" t="s">
        <v>81</v>
      </c>
      <c r="E13" t="s">
        <v>81</v>
      </c>
      <c r="F13" t="s">
        <v>81</v>
      </c>
      <c r="G13" t="s">
        <v>81</v>
      </c>
      <c r="H13" t="s">
        <v>81</v>
      </c>
      <c r="I13" t="s">
        <v>81</v>
      </c>
      <c r="J13">
        <v>1</v>
      </c>
    </row>
    <row r="14" spans="1:10" x14ac:dyDescent="0.2">
      <c r="A14">
        <v>10</v>
      </c>
      <c r="B14" t="s">
        <v>24</v>
      </c>
      <c r="C14" t="s">
        <v>25</v>
      </c>
      <c r="D14" t="s">
        <v>81</v>
      </c>
      <c r="E14" t="s">
        <v>81</v>
      </c>
      <c r="F14" t="s">
        <v>81</v>
      </c>
      <c r="G14" t="s">
        <v>81</v>
      </c>
      <c r="H14" t="s">
        <v>81</v>
      </c>
      <c r="I14" t="s">
        <v>81</v>
      </c>
      <c r="J14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14"/>
  <sheetViews>
    <sheetView workbookViewId="0">
      <selection sqref="A1:I26"/>
    </sheetView>
  </sheetViews>
  <sheetFormatPr defaultRowHeight="14.25" x14ac:dyDescent="0.2"/>
  <sheetData>
    <row r="1" spans="1:10" x14ac:dyDescent="0.2">
      <c r="A1" t="s">
        <v>76</v>
      </c>
      <c r="B1" t="s">
        <v>77</v>
      </c>
      <c r="C1" t="s">
        <v>78</v>
      </c>
      <c r="D1" t="s">
        <v>69</v>
      </c>
      <c r="E1" t="s">
        <v>79</v>
      </c>
      <c r="F1" t="s">
        <v>80</v>
      </c>
      <c r="G1" t="s">
        <v>68</v>
      </c>
      <c r="H1" t="s">
        <v>70</v>
      </c>
      <c r="I1" t="s">
        <v>71</v>
      </c>
    </row>
    <row r="2" spans="1:10" x14ac:dyDescent="0.2">
      <c r="A2">
        <v>2</v>
      </c>
      <c r="B2" t="s">
        <v>8</v>
      </c>
      <c r="C2" t="s">
        <v>9</v>
      </c>
      <c r="D2" t="s">
        <v>81</v>
      </c>
      <c r="E2" t="s">
        <v>81</v>
      </c>
      <c r="F2" t="s">
        <v>81</v>
      </c>
      <c r="G2" t="s">
        <v>81</v>
      </c>
      <c r="H2" t="s">
        <v>81</v>
      </c>
      <c r="I2" t="s">
        <v>81</v>
      </c>
      <c r="J2">
        <v>1</v>
      </c>
    </row>
    <row r="3" spans="1:10" x14ac:dyDescent="0.2">
      <c r="A3">
        <v>8</v>
      </c>
      <c r="B3" t="s">
        <v>20</v>
      </c>
      <c r="C3" t="s">
        <v>21</v>
      </c>
      <c r="D3" t="s">
        <v>81</v>
      </c>
      <c r="E3" t="s">
        <v>81</v>
      </c>
      <c r="F3" t="s">
        <v>81</v>
      </c>
      <c r="G3" t="s">
        <v>81</v>
      </c>
      <c r="H3" t="s">
        <v>81</v>
      </c>
      <c r="I3" t="s">
        <v>81</v>
      </c>
      <c r="J3">
        <v>1</v>
      </c>
    </row>
    <row r="4" spans="1:10" x14ac:dyDescent="0.2">
      <c r="A4">
        <v>2</v>
      </c>
      <c r="B4" t="s">
        <v>8</v>
      </c>
      <c r="C4" t="s">
        <v>9</v>
      </c>
      <c r="D4" t="s">
        <v>81</v>
      </c>
      <c r="E4" t="s">
        <v>81</v>
      </c>
      <c r="F4" t="s">
        <v>81</v>
      </c>
      <c r="G4" t="s">
        <v>81</v>
      </c>
      <c r="H4" t="s">
        <v>81</v>
      </c>
      <c r="I4" t="s">
        <v>81</v>
      </c>
      <c r="J4">
        <v>1</v>
      </c>
    </row>
    <row r="5" spans="1:10" x14ac:dyDescent="0.2">
      <c r="A5">
        <v>13</v>
      </c>
      <c r="B5" t="s">
        <v>30</v>
      </c>
      <c r="C5" t="s">
        <v>31</v>
      </c>
      <c r="D5" t="s">
        <v>81</v>
      </c>
      <c r="E5" t="s">
        <v>81</v>
      </c>
      <c r="F5" t="s">
        <v>81</v>
      </c>
      <c r="G5" t="s">
        <v>81</v>
      </c>
      <c r="H5" t="s">
        <v>81</v>
      </c>
      <c r="I5" t="s">
        <v>81</v>
      </c>
      <c r="J5">
        <v>1</v>
      </c>
    </row>
    <row r="6" spans="1:10" x14ac:dyDescent="0.2">
      <c r="A6">
        <v>15</v>
      </c>
      <c r="B6" t="s">
        <v>34</v>
      </c>
      <c r="C6" t="s">
        <v>35</v>
      </c>
      <c r="D6" t="s">
        <v>81</v>
      </c>
      <c r="E6" t="s">
        <v>81</v>
      </c>
      <c r="F6" t="s">
        <v>81</v>
      </c>
      <c r="G6" t="s">
        <v>81</v>
      </c>
      <c r="H6" t="s">
        <v>81</v>
      </c>
      <c r="I6" t="s">
        <v>81</v>
      </c>
      <c r="J6">
        <v>1</v>
      </c>
    </row>
    <row r="7" spans="1:10" x14ac:dyDescent="0.2">
      <c r="A7">
        <v>5</v>
      </c>
      <c r="B7" t="s">
        <v>14</v>
      </c>
      <c r="C7" t="s">
        <v>15</v>
      </c>
      <c r="D7" t="s">
        <v>81</v>
      </c>
      <c r="E7" t="s">
        <v>81</v>
      </c>
      <c r="F7" t="s">
        <v>81</v>
      </c>
      <c r="G7" t="s">
        <v>81</v>
      </c>
      <c r="H7" t="s">
        <v>81</v>
      </c>
      <c r="I7" t="s">
        <v>81</v>
      </c>
      <c r="J7">
        <v>1</v>
      </c>
    </row>
    <row r="8" spans="1:10" x14ac:dyDescent="0.2">
      <c r="A8">
        <v>19</v>
      </c>
      <c r="B8" t="s">
        <v>42</v>
      </c>
      <c r="C8" t="s">
        <v>43</v>
      </c>
      <c r="D8" t="s">
        <v>81</v>
      </c>
      <c r="E8" t="s">
        <v>81</v>
      </c>
      <c r="F8" t="s">
        <v>81</v>
      </c>
      <c r="G8" t="s">
        <v>81</v>
      </c>
      <c r="H8" t="s">
        <v>81</v>
      </c>
      <c r="I8" t="s">
        <v>81</v>
      </c>
      <c r="J8">
        <v>1</v>
      </c>
    </row>
    <row r="9" spans="1:10" x14ac:dyDescent="0.2">
      <c r="A9">
        <v>19</v>
      </c>
      <c r="B9" t="s">
        <v>42</v>
      </c>
      <c r="C9" t="s">
        <v>43</v>
      </c>
      <c r="D9" t="s">
        <v>81</v>
      </c>
      <c r="E9" t="s">
        <v>81</v>
      </c>
      <c r="F9" t="s">
        <v>81</v>
      </c>
      <c r="G9" t="s">
        <v>81</v>
      </c>
      <c r="H9" t="s">
        <v>81</v>
      </c>
      <c r="I9" t="s">
        <v>81</v>
      </c>
      <c r="J9">
        <v>1</v>
      </c>
    </row>
    <row r="10" spans="1:10" x14ac:dyDescent="0.2">
      <c r="A10">
        <v>7</v>
      </c>
      <c r="B10" t="s">
        <v>18</v>
      </c>
      <c r="C10" t="s">
        <v>19</v>
      </c>
      <c r="D10" t="s">
        <v>81</v>
      </c>
      <c r="E10" t="s">
        <v>81</v>
      </c>
      <c r="F10" t="s">
        <v>81</v>
      </c>
      <c r="G10" t="s">
        <v>81</v>
      </c>
      <c r="H10" t="s">
        <v>81</v>
      </c>
      <c r="I10" t="s">
        <v>81</v>
      </c>
      <c r="J10">
        <v>1</v>
      </c>
    </row>
    <row r="11" spans="1:10" x14ac:dyDescent="0.2">
      <c r="A11">
        <v>6</v>
      </c>
      <c r="B11" t="s">
        <v>16</v>
      </c>
      <c r="C11" t="s">
        <v>17</v>
      </c>
      <c r="D11" t="s">
        <v>81</v>
      </c>
      <c r="E11" t="s">
        <v>81</v>
      </c>
      <c r="F11" t="s">
        <v>81</v>
      </c>
      <c r="G11" t="s">
        <v>81</v>
      </c>
      <c r="H11" t="s">
        <v>81</v>
      </c>
      <c r="I11" t="s">
        <v>81</v>
      </c>
      <c r="J11">
        <v>1</v>
      </c>
    </row>
    <row r="12" spans="1:10" x14ac:dyDescent="0.2">
      <c r="A12">
        <v>17</v>
      </c>
      <c r="B12" t="s">
        <v>38</v>
      </c>
      <c r="C12" t="s">
        <v>39</v>
      </c>
      <c r="D12" t="s">
        <v>81</v>
      </c>
      <c r="E12" t="s">
        <v>81</v>
      </c>
      <c r="F12" t="s">
        <v>81</v>
      </c>
      <c r="G12" t="s">
        <v>81</v>
      </c>
      <c r="H12" t="s">
        <v>81</v>
      </c>
      <c r="I12" t="s">
        <v>81</v>
      </c>
      <c r="J12">
        <v>1</v>
      </c>
    </row>
    <row r="13" spans="1:10" x14ac:dyDescent="0.2">
      <c r="A13">
        <v>16</v>
      </c>
      <c r="B13" t="s">
        <v>36</v>
      </c>
      <c r="C13" t="s">
        <v>37</v>
      </c>
      <c r="D13" t="s">
        <v>81</v>
      </c>
      <c r="E13" t="s">
        <v>81</v>
      </c>
      <c r="F13" t="s">
        <v>81</v>
      </c>
      <c r="G13" t="s">
        <v>81</v>
      </c>
      <c r="H13" t="s">
        <v>81</v>
      </c>
      <c r="I13" t="s">
        <v>81</v>
      </c>
      <c r="J13">
        <v>1</v>
      </c>
    </row>
    <row r="14" spans="1:10" x14ac:dyDescent="0.2">
      <c r="A14">
        <v>6</v>
      </c>
      <c r="B14" t="s">
        <v>16</v>
      </c>
      <c r="C14" t="s">
        <v>17</v>
      </c>
      <c r="D14" t="s">
        <v>81</v>
      </c>
      <c r="E14" t="s">
        <v>81</v>
      </c>
      <c r="F14" t="s">
        <v>81</v>
      </c>
      <c r="G14" t="s">
        <v>81</v>
      </c>
      <c r="H14" t="s">
        <v>81</v>
      </c>
      <c r="I14" t="s">
        <v>81</v>
      </c>
      <c r="J14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21"/>
  <sheetViews>
    <sheetView workbookViewId="0">
      <selection sqref="A1:F30"/>
    </sheetView>
  </sheetViews>
  <sheetFormatPr defaultRowHeight="14.25" x14ac:dyDescent="0.2"/>
  <sheetData>
    <row r="1" spans="1:7" x14ac:dyDescent="0.2">
      <c r="A1" t="s">
        <v>76</v>
      </c>
      <c r="B1" t="s">
        <v>77</v>
      </c>
      <c r="C1" t="s">
        <v>78</v>
      </c>
      <c r="D1" t="s">
        <v>69</v>
      </c>
      <c r="E1" t="s">
        <v>79</v>
      </c>
      <c r="F1" t="s">
        <v>80</v>
      </c>
    </row>
    <row r="2" spans="1:7" x14ac:dyDescent="0.2">
      <c r="A2">
        <v>2</v>
      </c>
      <c r="B2" t="s">
        <v>8</v>
      </c>
      <c r="C2" t="s">
        <v>9</v>
      </c>
      <c r="D2" t="s">
        <v>81</v>
      </c>
      <c r="E2" t="s">
        <v>81</v>
      </c>
      <c r="F2" t="s">
        <v>81</v>
      </c>
      <c r="G2">
        <v>1</v>
      </c>
    </row>
    <row r="3" spans="1:7" x14ac:dyDescent="0.2">
      <c r="A3">
        <v>11</v>
      </c>
      <c r="B3" t="s">
        <v>26</v>
      </c>
      <c r="C3" t="s">
        <v>27</v>
      </c>
      <c r="D3" t="s">
        <v>81</v>
      </c>
      <c r="E3" t="s">
        <v>81</v>
      </c>
      <c r="F3" t="s">
        <v>81</v>
      </c>
      <c r="G3">
        <v>1</v>
      </c>
    </row>
    <row r="4" spans="1:7" x14ac:dyDescent="0.2">
      <c r="A4">
        <v>8</v>
      </c>
      <c r="B4" t="s">
        <v>20</v>
      </c>
      <c r="C4" t="s">
        <v>21</v>
      </c>
      <c r="D4" t="s">
        <v>81</v>
      </c>
      <c r="E4" t="s">
        <v>81</v>
      </c>
      <c r="F4" t="s">
        <v>81</v>
      </c>
      <c r="G4">
        <v>1</v>
      </c>
    </row>
    <row r="5" spans="1:7" x14ac:dyDescent="0.2">
      <c r="A5">
        <v>15</v>
      </c>
      <c r="B5" t="s">
        <v>34</v>
      </c>
      <c r="C5" t="s">
        <v>35</v>
      </c>
      <c r="D5" t="s">
        <v>81</v>
      </c>
      <c r="E5" t="s">
        <v>81</v>
      </c>
      <c r="F5" t="s">
        <v>81</v>
      </c>
      <c r="G5">
        <v>1</v>
      </c>
    </row>
    <row r="6" spans="1:7" x14ac:dyDescent="0.2">
      <c r="A6">
        <v>20</v>
      </c>
      <c r="B6" t="s">
        <v>44</v>
      </c>
      <c r="C6" t="s">
        <v>45</v>
      </c>
      <c r="D6" t="s">
        <v>81</v>
      </c>
      <c r="E6" t="s">
        <v>81</v>
      </c>
      <c r="F6" t="s">
        <v>81</v>
      </c>
      <c r="G6">
        <v>1</v>
      </c>
    </row>
    <row r="7" spans="1:7" x14ac:dyDescent="0.2">
      <c r="A7">
        <v>12</v>
      </c>
      <c r="B7" t="s">
        <v>28</v>
      </c>
      <c r="C7" t="s">
        <v>29</v>
      </c>
      <c r="D7" t="s">
        <v>81</v>
      </c>
      <c r="E7" t="s">
        <v>81</v>
      </c>
      <c r="F7" t="s">
        <v>81</v>
      </c>
      <c r="G7">
        <v>1</v>
      </c>
    </row>
    <row r="8" spans="1:7" x14ac:dyDescent="0.2">
      <c r="A8">
        <v>12</v>
      </c>
      <c r="B8" t="s">
        <v>28</v>
      </c>
      <c r="C8" t="s">
        <v>29</v>
      </c>
      <c r="D8" t="s">
        <v>81</v>
      </c>
      <c r="E8" t="s">
        <v>81</v>
      </c>
      <c r="F8" t="s">
        <v>81</v>
      </c>
      <c r="G8">
        <v>1</v>
      </c>
    </row>
    <row r="9" spans="1:7" x14ac:dyDescent="0.2">
      <c r="A9">
        <v>3</v>
      </c>
      <c r="B9" t="s">
        <v>10</v>
      </c>
      <c r="C9" t="s">
        <v>11</v>
      </c>
      <c r="D9" t="s">
        <v>81</v>
      </c>
      <c r="E9" t="s">
        <v>81</v>
      </c>
      <c r="F9" t="s">
        <v>81</v>
      </c>
      <c r="G9">
        <v>1</v>
      </c>
    </row>
    <row r="10" spans="1:7" x14ac:dyDescent="0.2">
      <c r="A10">
        <v>6</v>
      </c>
      <c r="B10" t="s">
        <v>16</v>
      </c>
      <c r="C10" t="s">
        <v>17</v>
      </c>
      <c r="D10" t="s">
        <v>81</v>
      </c>
      <c r="E10" t="s">
        <v>81</v>
      </c>
      <c r="F10" t="s">
        <v>81</v>
      </c>
      <c r="G10">
        <v>1</v>
      </c>
    </row>
    <row r="11" spans="1:7" x14ac:dyDescent="0.2">
      <c r="A11">
        <v>4</v>
      </c>
      <c r="B11" t="s">
        <v>12</v>
      </c>
      <c r="C11" t="s">
        <v>13</v>
      </c>
      <c r="D11" t="s">
        <v>81</v>
      </c>
      <c r="E11" t="s">
        <v>81</v>
      </c>
      <c r="F11" t="s">
        <v>81</v>
      </c>
      <c r="G11">
        <v>1</v>
      </c>
    </row>
    <row r="12" spans="1:7" x14ac:dyDescent="0.2">
      <c r="A12">
        <v>12</v>
      </c>
      <c r="B12" t="s">
        <v>28</v>
      </c>
      <c r="C12" t="s">
        <v>29</v>
      </c>
      <c r="D12" t="s">
        <v>81</v>
      </c>
      <c r="E12" t="s">
        <v>81</v>
      </c>
      <c r="F12" t="s">
        <v>81</v>
      </c>
      <c r="G12">
        <v>1</v>
      </c>
    </row>
    <row r="13" spans="1:7" x14ac:dyDescent="0.2">
      <c r="A13">
        <v>9</v>
      </c>
      <c r="B13" t="s">
        <v>22</v>
      </c>
      <c r="C13" t="s">
        <v>23</v>
      </c>
      <c r="D13" t="s">
        <v>81</v>
      </c>
      <c r="E13" t="s">
        <v>81</v>
      </c>
      <c r="F13" t="s">
        <v>81</v>
      </c>
      <c r="G13">
        <v>1</v>
      </c>
    </row>
    <row r="14" spans="1:7" x14ac:dyDescent="0.2">
      <c r="A14">
        <v>13</v>
      </c>
      <c r="B14" t="s">
        <v>30</v>
      </c>
      <c r="C14" t="s">
        <v>31</v>
      </c>
      <c r="D14" t="s">
        <v>81</v>
      </c>
      <c r="E14" t="s">
        <v>81</v>
      </c>
      <c r="F14" t="s">
        <v>81</v>
      </c>
      <c r="G14">
        <v>1</v>
      </c>
    </row>
    <row r="15" spans="1:7" x14ac:dyDescent="0.2">
      <c r="A15">
        <v>11</v>
      </c>
      <c r="B15" t="s">
        <v>26</v>
      </c>
      <c r="C15" t="s">
        <v>27</v>
      </c>
      <c r="D15" t="s">
        <v>81</v>
      </c>
      <c r="E15" t="s">
        <v>81</v>
      </c>
      <c r="F15" t="s">
        <v>81</v>
      </c>
      <c r="G15">
        <v>1</v>
      </c>
    </row>
    <row r="16" spans="1:7" x14ac:dyDescent="0.2">
      <c r="A16">
        <v>18</v>
      </c>
      <c r="B16" t="s">
        <v>40</v>
      </c>
      <c r="C16" t="s">
        <v>41</v>
      </c>
      <c r="D16" t="s">
        <v>81</v>
      </c>
      <c r="E16" t="s">
        <v>81</v>
      </c>
      <c r="F16" t="s">
        <v>81</v>
      </c>
      <c r="G16">
        <v>1</v>
      </c>
    </row>
    <row r="17" spans="1:7" x14ac:dyDescent="0.2">
      <c r="A17">
        <v>1</v>
      </c>
      <c r="B17" t="s">
        <v>6</v>
      </c>
      <c r="C17" t="s">
        <v>7</v>
      </c>
      <c r="D17" t="s">
        <v>81</v>
      </c>
      <c r="E17" t="s">
        <v>81</v>
      </c>
      <c r="F17" t="s">
        <v>81</v>
      </c>
      <c r="G17">
        <v>1</v>
      </c>
    </row>
    <row r="18" spans="1:7" x14ac:dyDescent="0.2">
      <c r="A18">
        <v>20</v>
      </c>
      <c r="B18" t="s">
        <v>44</v>
      </c>
      <c r="C18" t="s">
        <v>45</v>
      </c>
      <c r="D18" t="s">
        <v>81</v>
      </c>
      <c r="E18" t="s">
        <v>81</v>
      </c>
      <c r="F18" t="s">
        <v>81</v>
      </c>
      <c r="G18">
        <v>1</v>
      </c>
    </row>
    <row r="19" spans="1:7" x14ac:dyDescent="0.2">
      <c r="A19">
        <v>3</v>
      </c>
      <c r="B19" t="s">
        <v>10</v>
      </c>
      <c r="C19" t="s">
        <v>11</v>
      </c>
      <c r="D19" t="s">
        <v>81</v>
      </c>
      <c r="E19" t="s">
        <v>81</v>
      </c>
      <c r="F19" t="s">
        <v>81</v>
      </c>
      <c r="G19">
        <v>1</v>
      </c>
    </row>
    <row r="20" spans="1:7" x14ac:dyDescent="0.2">
      <c r="A20">
        <v>13</v>
      </c>
      <c r="B20" t="s">
        <v>30</v>
      </c>
      <c r="C20" t="s">
        <v>31</v>
      </c>
      <c r="D20" t="s">
        <v>81</v>
      </c>
      <c r="E20" t="s">
        <v>81</v>
      </c>
      <c r="F20" t="s">
        <v>81</v>
      </c>
      <c r="G20">
        <v>1</v>
      </c>
    </row>
    <row r="21" spans="1:7" x14ac:dyDescent="0.2">
      <c r="A21">
        <v>11</v>
      </c>
      <c r="B21" t="s">
        <v>26</v>
      </c>
      <c r="C21" t="s">
        <v>27</v>
      </c>
      <c r="D21" t="s">
        <v>81</v>
      </c>
      <c r="E21" t="s">
        <v>81</v>
      </c>
      <c r="F21" t="s">
        <v>81</v>
      </c>
      <c r="G21">
        <v>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Q48"/>
  <sheetViews>
    <sheetView tabSelected="1" zoomScale="70" zoomScaleNormal="70" workbookViewId="0">
      <selection activeCell="J38" sqref="J38"/>
    </sheetView>
  </sheetViews>
  <sheetFormatPr defaultRowHeight="14.25" x14ac:dyDescent="0.2"/>
  <cols>
    <col min="1" max="1" width="9" style="1"/>
    <col min="3" max="3" width="16.375" bestFit="1" customWidth="1"/>
    <col min="4" max="4" width="9" style="1"/>
    <col min="5" max="9" width="9.75" customWidth="1"/>
    <col min="10" max="12" width="11.375" customWidth="1"/>
    <col min="13" max="13" width="10.5" customWidth="1"/>
    <col min="14" max="14" width="10.25" style="1" bestFit="1" customWidth="1"/>
    <col min="15" max="15" width="10.375" style="1" bestFit="1" customWidth="1"/>
  </cols>
  <sheetData>
    <row r="1" spans="1:15" x14ac:dyDescent="0.2">
      <c r="D1" s="8" t="s">
        <v>56</v>
      </c>
      <c r="E1" s="8"/>
      <c r="F1" s="8"/>
      <c r="G1" s="8" t="s">
        <v>57</v>
      </c>
      <c r="H1" s="8"/>
      <c r="I1" s="8"/>
      <c r="J1" s="8" t="s">
        <v>58</v>
      </c>
      <c r="K1" s="8"/>
      <c r="L1" s="8"/>
      <c r="M1" s="9" t="s">
        <v>67</v>
      </c>
      <c r="N1" s="10"/>
      <c r="O1" s="10"/>
    </row>
    <row r="2" spans="1:15" x14ac:dyDescent="0.2">
      <c r="D2" s="4" t="s">
        <v>53</v>
      </c>
      <c r="E2" s="4" t="s">
        <v>54</v>
      </c>
      <c r="F2" s="4" t="s">
        <v>84</v>
      </c>
      <c r="G2" s="4" t="s">
        <v>55</v>
      </c>
      <c r="H2" s="4" t="s">
        <v>59</v>
      </c>
      <c r="I2" s="4" t="s">
        <v>83</v>
      </c>
      <c r="J2" s="4" t="s">
        <v>60</v>
      </c>
      <c r="K2" s="4" t="s">
        <v>61</v>
      </c>
      <c r="L2" s="4" t="s">
        <v>82</v>
      </c>
      <c r="M2" s="1" t="s">
        <v>85</v>
      </c>
      <c r="N2" s="1" t="s">
        <v>62</v>
      </c>
      <c r="O2" s="1" t="s">
        <v>66</v>
      </c>
    </row>
    <row r="3" spans="1:15" x14ac:dyDescent="0.2">
      <c r="A3" s="1">
        <v>1</v>
      </c>
      <c r="B3" t="s">
        <v>6</v>
      </c>
      <c r="C3" t="s">
        <v>7</v>
      </c>
      <c r="D3" s="4">
        <f>IF(ISNA(VLOOKUP('Student list'!$A3,Quiz1!$A:$G,8,0)),0,1)</f>
        <v>0</v>
      </c>
      <c r="E3" s="4">
        <f>IF(ISNA(VLOOKUP('Student list'!$A3,Quiz2!$A:$G,7,0)),0,1)</f>
        <v>0</v>
      </c>
      <c r="F3" s="4">
        <f>IF(SUM(D3:E3)&gt;0,1,0)</f>
        <v>0</v>
      </c>
      <c r="G3" s="4">
        <f>IF(ISNA(VLOOKUP('Student list'!$A3,Quiz3!$A:$G,8,0)),0,1)</f>
        <v>0</v>
      </c>
      <c r="H3" s="4">
        <f>IF(ISNA(VLOOKUP('Student list'!$A3,Quiz4!$A:$G,8,0)),0,1)</f>
        <v>0</v>
      </c>
      <c r="I3" s="4">
        <f>IF(SUM(G3:H3)&gt;0,1,0)</f>
        <v>0</v>
      </c>
      <c r="J3" s="4">
        <f>IF(ISNA(VLOOKUP('Student list'!$A3,Quiz5!$A:$G,8,0)),0,1)</f>
        <v>0</v>
      </c>
      <c r="K3" s="4">
        <f>IF(ISNA(VLOOKUP('Student list'!$A3,Quiz6!$A:$G,8,0)),0,1)</f>
        <v>1</v>
      </c>
      <c r="L3" s="4">
        <f>IF(SUM(J3:K3)&gt;0,1,0)</f>
        <v>1</v>
      </c>
      <c r="M3" s="1">
        <f>SUM(D3:E3,G3:H3,J3:K3)</f>
        <v>1</v>
      </c>
      <c r="N3" s="1">
        <f>SUM(F3,I3,L3)</f>
        <v>1</v>
      </c>
      <c r="O3" s="1">
        <f>IF(N3=3,1,0)</f>
        <v>0</v>
      </c>
    </row>
    <row r="4" spans="1:15" x14ac:dyDescent="0.2">
      <c r="A4" s="1">
        <v>2</v>
      </c>
      <c r="B4" t="s">
        <v>8</v>
      </c>
      <c r="C4" t="s">
        <v>9</v>
      </c>
      <c r="D4" s="4">
        <f>IF(ISNA(VLOOKUP('Student list'!$A4,Quiz1!$A:$G,8,0)),0,1)</f>
        <v>0</v>
      </c>
      <c r="E4" s="4">
        <f>IF(ISNA(VLOOKUP('Student list'!$A4,Quiz2!$A:$G,7,0)),0,1)</f>
        <v>1</v>
      </c>
      <c r="F4" s="4">
        <f t="shared" ref="F4:F22" si="0">IF(SUM(D4:E4)&gt;0,1,0)</f>
        <v>1</v>
      </c>
      <c r="G4" s="4">
        <f>IF(ISNA(VLOOKUP('Student list'!$A4,Quiz3!$A:$G,8,0)),0,1)</f>
        <v>0</v>
      </c>
      <c r="H4" s="4">
        <f>IF(ISNA(VLOOKUP('Student list'!$A4,Quiz4!$A:$G,8,0)),0,1)</f>
        <v>1</v>
      </c>
      <c r="I4" s="4">
        <f t="shared" ref="I4:I22" si="1">IF(SUM(G4:H4)&gt;0,1,0)</f>
        <v>1</v>
      </c>
      <c r="J4" s="4">
        <f>IF(ISNA(VLOOKUP('Student list'!$A4,Quiz5!$A:$G,8,0)),0,1)</f>
        <v>1</v>
      </c>
      <c r="K4" s="4">
        <f>IF(ISNA(VLOOKUP('Student list'!$A4,Quiz6!$A:$G,8,0)),0,1)</f>
        <v>1</v>
      </c>
      <c r="L4" s="4">
        <f t="shared" ref="L4:L22" si="2">IF(SUM(J4:K4)&gt;0,1,0)</f>
        <v>1</v>
      </c>
      <c r="M4" s="1">
        <f t="shared" ref="M4:M22" si="3">SUM(D4:E4,G4:H4,J4:K4)</f>
        <v>4</v>
      </c>
      <c r="N4" s="1">
        <f t="shared" ref="N4:N22" si="4">SUM(F4,I4,L4)</f>
        <v>3</v>
      </c>
      <c r="O4" s="1">
        <f t="shared" ref="O4:O22" si="5">IF(N4=3,1,0)</f>
        <v>1</v>
      </c>
    </row>
    <row r="5" spans="1:15" x14ac:dyDescent="0.2">
      <c r="A5" s="1">
        <v>3</v>
      </c>
      <c r="B5" t="s">
        <v>10</v>
      </c>
      <c r="C5" t="s">
        <v>11</v>
      </c>
      <c r="D5" s="4">
        <f>IF(ISNA(VLOOKUP('Student list'!$A5,Quiz1!$A:$G,8,0)),0,1)</f>
        <v>1</v>
      </c>
      <c r="E5" s="4">
        <f>IF(ISNA(VLOOKUP('Student list'!$A5,Quiz2!$A:$G,7,0)),0,1)</f>
        <v>1</v>
      </c>
      <c r="F5" s="4">
        <f t="shared" si="0"/>
        <v>1</v>
      </c>
      <c r="G5" s="4">
        <f>IF(ISNA(VLOOKUP('Student list'!$A5,Quiz3!$A:$G,8,0)),0,1)</f>
        <v>1</v>
      </c>
      <c r="H5" s="4">
        <f>IF(ISNA(VLOOKUP('Student list'!$A5,Quiz4!$A:$G,8,0)),0,1)</f>
        <v>0</v>
      </c>
      <c r="I5" s="4">
        <f t="shared" si="1"/>
        <v>1</v>
      </c>
      <c r="J5" s="4">
        <f>IF(ISNA(VLOOKUP('Student list'!$A5,Quiz5!$A:$G,8,0)),0,1)</f>
        <v>0</v>
      </c>
      <c r="K5" s="4">
        <f>IF(ISNA(VLOOKUP('Student list'!$A5,Quiz6!$A:$G,8,0)),0,1)</f>
        <v>1</v>
      </c>
      <c r="L5" s="4">
        <f t="shared" si="2"/>
        <v>1</v>
      </c>
      <c r="M5" s="1">
        <f t="shared" si="3"/>
        <v>4</v>
      </c>
      <c r="N5" s="1">
        <f t="shared" si="4"/>
        <v>3</v>
      </c>
      <c r="O5" s="1">
        <f t="shared" si="5"/>
        <v>1</v>
      </c>
    </row>
    <row r="6" spans="1:15" x14ac:dyDescent="0.2">
      <c r="A6" s="1">
        <v>4</v>
      </c>
      <c r="B6" t="s">
        <v>12</v>
      </c>
      <c r="C6" t="s">
        <v>13</v>
      </c>
      <c r="D6" s="4">
        <f>IF(ISNA(VLOOKUP('Student list'!$A6,Quiz1!$A:$G,8,0)),0,1)</f>
        <v>1</v>
      </c>
      <c r="E6" s="4">
        <f>IF(ISNA(VLOOKUP('Student list'!$A6,Quiz2!$A:$G,7,0)),0,1)</f>
        <v>0</v>
      </c>
      <c r="F6" s="4">
        <f t="shared" si="0"/>
        <v>1</v>
      </c>
      <c r="G6" s="4">
        <f>IF(ISNA(VLOOKUP('Student list'!$A6,Quiz3!$A:$G,8,0)),0,1)</f>
        <v>0</v>
      </c>
      <c r="H6" s="4">
        <f>IF(ISNA(VLOOKUP('Student list'!$A6,Quiz4!$A:$G,8,0)),0,1)</f>
        <v>1</v>
      </c>
      <c r="I6" s="4">
        <f t="shared" si="1"/>
        <v>1</v>
      </c>
      <c r="J6" s="4">
        <f>IF(ISNA(VLOOKUP('Student list'!$A6,Quiz5!$A:$G,8,0)),0,1)</f>
        <v>0</v>
      </c>
      <c r="K6" s="4">
        <f>IF(ISNA(VLOOKUP('Student list'!$A6,Quiz6!$A:$G,8,0)),0,1)</f>
        <v>1</v>
      </c>
      <c r="L6" s="4">
        <f t="shared" si="2"/>
        <v>1</v>
      </c>
      <c r="M6" s="1">
        <f t="shared" si="3"/>
        <v>3</v>
      </c>
      <c r="N6" s="1">
        <f t="shared" si="4"/>
        <v>3</v>
      </c>
      <c r="O6" s="1">
        <f t="shared" si="5"/>
        <v>1</v>
      </c>
    </row>
    <row r="7" spans="1:15" x14ac:dyDescent="0.2">
      <c r="A7" s="1">
        <v>5</v>
      </c>
      <c r="B7" t="s">
        <v>14</v>
      </c>
      <c r="C7" t="s">
        <v>15</v>
      </c>
      <c r="D7" s="4">
        <f>IF(ISNA(VLOOKUP('Student list'!$A7,Quiz1!$A:$G,8,0)),0,1)</f>
        <v>1</v>
      </c>
      <c r="E7" s="4">
        <f>IF(ISNA(VLOOKUP('Student list'!$A7,Quiz2!$A:$G,7,0)),0,1)</f>
        <v>1</v>
      </c>
      <c r="F7" s="4">
        <f t="shared" si="0"/>
        <v>1</v>
      </c>
      <c r="G7" s="4">
        <f>IF(ISNA(VLOOKUP('Student list'!$A7,Quiz3!$A:$G,8,0)),0,1)</f>
        <v>0</v>
      </c>
      <c r="H7" s="4">
        <f>IF(ISNA(VLOOKUP('Student list'!$A7,Quiz4!$A:$G,8,0)),0,1)</f>
        <v>0</v>
      </c>
      <c r="I7" s="4">
        <f t="shared" si="1"/>
        <v>0</v>
      </c>
      <c r="J7" s="4">
        <f>IF(ISNA(VLOOKUP('Student list'!$A7,Quiz5!$A:$G,8,0)),0,1)</f>
        <v>1</v>
      </c>
      <c r="K7" s="4">
        <f>IF(ISNA(VLOOKUP('Student list'!$A7,Quiz6!$A:$G,8,0)),0,1)</f>
        <v>0</v>
      </c>
      <c r="L7" s="4">
        <f t="shared" si="2"/>
        <v>1</v>
      </c>
      <c r="M7" s="1">
        <f t="shared" si="3"/>
        <v>3</v>
      </c>
      <c r="N7" s="1">
        <f t="shared" si="4"/>
        <v>2</v>
      </c>
      <c r="O7" s="1">
        <f t="shared" si="5"/>
        <v>0</v>
      </c>
    </row>
    <row r="8" spans="1:15" x14ac:dyDescent="0.2">
      <c r="A8" s="1">
        <v>6</v>
      </c>
      <c r="B8" t="s">
        <v>16</v>
      </c>
      <c r="C8" t="s">
        <v>17</v>
      </c>
      <c r="D8" s="4">
        <f>IF(ISNA(VLOOKUP('Student list'!$A8,Quiz1!$A:$G,8,0)),0,1)</f>
        <v>0</v>
      </c>
      <c r="E8" s="4">
        <f>IF(ISNA(VLOOKUP('Student list'!$A8,Quiz2!$A:$G,7,0)),0,1)</f>
        <v>0</v>
      </c>
      <c r="F8" s="4">
        <f t="shared" si="0"/>
        <v>0</v>
      </c>
      <c r="G8" s="4">
        <f>IF(ISNA(VLOOKUP('Student list'!$A8,Quiz3!$A:$G,8,0)),0,1)</f>
        <v>1</v>
      </c>
      <c r="H8" s="4">
        <f>IF(ISNA(VLOOKUP('Student list'!$A8,Quiz4!$A:$G,8,0)),0,1)</f>
        <v>0</v>
      </c>
      <c r="I8" s="4">
        <f t="shared" si="1"/>
        <v>1</v>
      </c>
      <c r="J8" s="4">
        <f>IF(ISNA(VLOOKUP('Student list'!$A8,Quiz5!$A:$G,8,0)),0,1)</f>
        <v>1</v>
      </c>
      <c r="K8" s="4">
        <f>IF(ISNA(VLOOKUP('Student list'!$A8,Quiz6!$A:$G,8,0)),0,1)</f>
        <v>1</v>
      </c>
      <c r="L8" s="4">
        <f t="shared" si="2"/>
        <v>1</v>
      </c>
      <c r="M8" s="1">
        <f t="shared" si="3"/>
        <v>3</v>
      </c>
      <c r="N8" s="1">
        <f t="shared" si="4"/>
        <v>2</v>
      </c>
      <c r="O8" s="1">
        <f t="shared" si="5"/>
        <v>0</v>
      </c>
    </row>
    <row r="9" spans="1:15" x14ac:dyDescent="0.2">
      <c r="A9" s="1">
        <v>7</v>
      </c>
      <c r="B9" t="s">
        <v>18</v>
      </c>
      <c r="C9" t="s">
        <v>19</v>
      </c>
      <c r="D9" s="4">
        <f>IF(ISNA(VLOOKUP('Student list'!$A9,Quiz1!$A:$G,8,0)),0,1)</f>
        <v>1</v>
      </c>
      <c r="E9" s="4">
        <f>IF(ISNA(VLOOKUP('Student list'!$A9,Quiz2!$A:$G,7,0)),0,1)</f>
        <v>1</v>
      </c>
      <c r="F9" s="4">
        <f t="shared" si="0"/>
        <v>1</v>
      </c>
      <c r="G9" s="4">
        <f>IF(ISNA(VLOOKUP('Student list'!$A9,Quiz3!$A:$G,8,0)),0,1)</f>
        <v>0</v>
      </c>
      <c r="H9" s="4">
        <f>IF(ISNA(VLOOKUP('Student list'!$A9,Quiz4!$A:$G,8,0)),0,1)</f>
        <v>1</v>
      </c>
      <c r="I9" s="4">
        <f t="shared" si="1"/>
        <v>1</v>
      </c>
      <c r="J9" s="4">
        <f>IF(ISNA(VLOOKUP('Student list'!$A9,Quiz5!$A:$G,8,0)),0,1)</f>
        <v>1</v>
      </c>
      <c r="K9" s="4">
        <f>IF(ISNA(VLOOKUP('Student list'!$A9,Quiz6!$A:$G,8,0)),0,1)</f>
        <v>0</v>
      </c>
      <c r="L9" s="4">
        <f t="shared" si="2"/>
        <v>1</v>
      </c>
      <c r="M9" s="1">
        <f t="shared" si="3"/>
        <v>4</v>
      </c>
      <c r="N9" s="1">
        <f t="shared" si="4"/>
        <v>3</v>
      </c>
      <c r="O9" s="1">
        <f t="shared" si="5"/>
        <v>1</v>
      </c>
    </row>
    <row r="10" spans="1:15" x14ac:dyDescent="0.2">
      <c r="A10" s="1">
        <v>8</v>
      </c>
      <c r="B10" t="s">
        <v>20</v>
      </c>
      <c r="C10" t="s">
        <v>21</v>
      </c>
      <c r="D10" s="4">
        <f>IF(ISNA(VLOOKUP('Student list'!$A10,Quiz1!$A:$G,8,0)),0,1)</f>
        <v>1</v>
      </c>
      <c r="E10" s="4">
        <f>IF(ISNA(VLOOKUP('Student list'!$A10,Quiz2!$A:$G,7,0)),0,1)</f>
        <v>1</v>
      </c>
      <c r="F10" s="4">
        <f t="shared" si="0"/>
        <v>1</v>
      </c>
      <c r="G10" s="4">
        <f>IF(ISNA(VLOOKUP('Student list'!$A10,Quiz3!$A:$G,8,0)),0,1)</f>
        <v>1</v>
      </c>
      <c r="H10" s="4">
        <f>IF(ISNA(VLOOKUP('Student list'!$A10,Quiz4!$A:$G,8,0)),0,1)</f>
        <v>0</v>
      </c>
      <c r="I10" s="4">
        <f t="shared" si="1"/>
        <v>1</v>
      </c>
      <c r="J10" s="4">
        <f>IF(ISNA(VLOOKUP('Student list'!$A10,Quiz5!$A:$G,8,0)),0,1)</f>
        <v>1</v>
      </c>
      <c r="K10" s="4">
        <f>IF(ISNA(VLOOKUP('Student list'!$A10,Quiz6!$A:$G,8,0)),0,1)</f>
        <v>1</v>
      </c>
      <c r="L10" s="4">
        <f t="shared" si="2"/>
        <v>1</v>
      </c>
      <c r="M10" s="1">
        <f t="shared" si="3"/>
        <v>5</v>
      </c>
      <c r="N10" s="1">
        <f t="shared" si="4"/>
        <v>3</v>
      </c>
      <c r="O10" s="1">
        <f t="shared" si="5"/>
        <v>1</v>
      </c>
    </row>
    <row r="11" spans="1:15" x14ac:dyDescent="0.2">
      <c r="A11" s="1">
        <v>9</v>
      </c>
      <c r="B11" t="s">
        <v>22</v>
      </c>
      <c r="C11" t="s">
        <v>23</v>
      </c>
      <c r="D11" s="4">
        <f>IF(ISNA(VLOOKUP('Student list'!$A11,Quiz1!$A:$G,8,0)),0,1)</f>
        <v>0</v>
      </c>
      <c r="E11" s="4">
        <f>IF(ISNA(VLOOKUP('Student list'!$A11,Quiz2!$A:$G,7,0)),0,1)</f>
        <v>0</v>
      </c>
      <c r="F11" s="4">
        <f t="shared" si="0"/>
        <v>0</v>
      </c>
      <c r="G11" s="4">
        <f>IF(ISNA(VLOOKUP('Student list'!$A11,Quiz3!$A:$G,8,0)),0,1)</f>
        <v>0</v>
      </c>
      <c r="H11" s="4">
        <f>IF(ISNA(VLOOKUP('Student list'!$A11,Quiz4!$A:$G,8,0)),0,1)</f>
        <v>1</v>
      </c>
      <c r="I11" s="4">
        <f t="shared" si="1"/>
        <v>1</v>
      </c>
      <c r="J11" s="4">
        <f>IF(ISNA(VLOOKUP('Student list'!$A11,Quiz5!$A:$G,8,0)),0,1)</f>
        <v>0</v>
      </c>
      <c r="K11" s="4">
        <f>IF(ISNA(VLOOKUP('Student list'!$A11,Quiz6!$A:$G,8,0)),0,1)</f>
        <v>1</v>
      </c>
      <c r="L11" s="4">
        <f t="shared" si="2"/>
        <v>1</v>
      </c>
      <c r="M11" s="1">
        <f t="shared" si="3"/>
        <v>2</v>
      </c>
      <c r="N11" s="1">
        <f t="shared" si="4"/>
        <v>2</v>
      </c>
      <c r="O11" s="1">
        <f t="shared" si="5"/>
        <v>0</v>
      </c>
    </row>
    <row r="12" spans="1:15" x14ac:dyDescent="0.2">
      <c r="A12" s="1">
        <v>10</v>
      </c>
      <c r="B12" t="s">
        <v>24</v>
      </c>
      <c r="C12" t="s">
        <v>25</v>
      </c>
      <c r="D12" s="4">
        <f>IF(ISNA(VLOOKUP('Student list'!$A12,Quiz1!$A:$G,8,0)),0,1)</f>
        <v>0</v>
      </c>
      <c r="E12" s="4">
        <f>IF(ISNA(VLOOKUP('Student list'!$A12,Quiz2!$A:$G,7,0)),0,1)</f>
        <v>0</v>
      </c>
      <c r="F12" s="4">
        <f t="shared" si="0"/>
        <v>0</v>
      </c>
      <c r="G12" s="4">
        <f>IF(ISNA(VLOOKUP('Student list'!$A12,Quiz3!$A:$G,8,0)),0,1)</f>
        <v>1</v>
      </c>
      <c r="H12" s="4">
        <f>IF(ISNA(VLOOKUP('Student list'!$A12,Quiz4!$A:$G,8,0)),0,1)</f>
        <v>1</v>
      </c>
      <c r="I12" s="4">
        <f t="shared" si="1"/>
        <v>1</v>
      </c>
      <c r="J12" s="4">
        <f>IF(ISNA(VLOOKUP('Student list'!$A12,Quiz5!$A:$G,8,0)),0,1)</f>
        <v>0</v>
      </c>
      <c r="K12" s="4">
        <f>IF(ISNA(VLOOKUP('Student list'!$A12,Quiz6!$A:$G,8,0)),0,1)</f>
        <v>0</v>
      </c>
      <c r="L12" s="4">
        <f t="shared" si="2"/>
        <v>0</v>
      </c>
      <c r="M12" s="1">
        <f t="shared" si="3"/>
        <v>2</v>
      </c>
      <c r="N12" s="1">
        <f t="shared" si="4"/>
        <v>1</v>
      </c>
      <c r="O12" s="1">
        <f t="shared" si="5"/>
        <v>0</v>
      </c>
    </row>
    <row r="13" spans="1:15" x14ac:dyDescent="0.2">
      <c r="A13" s="1">
        <v>11</v>
      </c>
      <c r="B13" t="s">
        <v>26</v>
      </c>
      <c r="C13" t="s">
        <v>27</v>
      </c>
      <c r="D13" s="4">
        <f>IF(ISNA(VLOOKUP('Student list'!$A13,Quiz1!$A:$G,8,0)),0,1)</f>
        <v>1</v>
      </c>
      <c r="E13" s="4">
        <f>IF(ISNA(VLOOKUP('Student list'!$A13,Quiz2!$A:$G,7,0)),0,1)</f>
        <v>1</v>
      </c>
      <c r="F13" s="4">
        <f t="shared" si="0"/>
        <v>1</v>
      </c>
      <c r="G13" s="4">
        <f>IF(ISNA(VLOOKUP('Student list'!$A13,Quiz3!$A:$G,8,0)),0,1)</f>
        <v>0</v>
      </c>
      <c r="H13" s="4">
        <f>IF(ISNA(VLOOKUP('Student list'!$A13,Quiz4!$A:$G,8,0)),0,1)</f>
        <v>0</v>
      </c>
      <c r="I13" s="4">
        <f t="shared" si="1"/>
        <v>0</v>
      </c>
      <c r="J13" s="4">
        <f>IF(ISNA(VLOOKUP('Student list'!$A13,Quiz5!$A:$G,8,0)),0,1)</f>
        <v>0</v>
      </c>
      <c r="K13" s="4">
        <f>IF(ISNA(VLOOKUP('Student list'!$A13,Quiz6!$A:$G,8,0)),0,1)</f>
        <v>1</v>
      </c>
      <c r="L13" s="4">
        <f t="shared" si="2"/>
        <v>1</v>
      </c>
      <c r="M13" s="1">
        <f t="shared" si="3"/>
        <v>3</v>
      </c>
      <c r="N13" s="1">
        <f t="shared" si="4"/>
        <v>2</v>
      </c>
      <c r="O13" s="1">
        <f t="shared" si="5"/>
        <v>0</v>
      </c>
    </row>
    <row r="14" spans="1:15" x14ac:dyDescent="0.2">
      <c r="A14" s="1">
        <v>12</v>
      </c>
      <c r="B14" t="s">
        <v>28</v>
      </c>
      <c r="C14" t="s">
        <v>29</v>
      </c>
      <c r="D14" s="4">
        <f>IF(ISNA(VLOOKUP('Student list'!$A14,Quiz1!$A:$G,8,0)),0,1)</f>
        <v>0</v>
      </c>
      <c r="E14" s="4">
        <f>IF(ISNA(VLOOKUP('Student list'!$A14,Quiz2!$A:$G,7,0)),0,1)</f>
        <v>1</v>
      </c>
      <c r="F14" s="4">
        <f t="shared" si="0"/>
        <v>1</v>
      </c>
      <c r="G14" s="4">
        <f>IF(ISNA(VLOOKUP('Student list'!$A14,Quiz3!$A:$G,8,0)),0,1)</f>
        <v>1</v>
      </c>
      <c r="H14" s="4">
        <f>IF(ISNA(VLOOKUP('Student list'!$A14,Quiz4!$A:$G,8,0)),0,1)</f>
        <v>1</v>
      </c>
      <c r="I14" s="4">
        <f t="shared" si="1"/>
        <v>1</v>
      </c>
      <c r="J14" s="4">
        <f>IF(ISNA(VLOOKUP('Student list'!$A14,Quiz5!$A:$G,8,0)),0,1)</f>
        <v>0</v>
      </c>
      <c r="K14" s="4">
        <f>IF(ISNA(VLOOKUP('Student list'!$A14,Quiz6!$A:$G,8,0)),0,1)</f>
        <v>1</v>
      </c>
      <c r="L14" s="4">
        <f t="shared" si="2"/>
        <v>1</v>
      </c>
      <c r="M14" s="1">
        <f t="shared" si="3"/>
        <v>4</v>
      </c>
      <c r="N14" s="1">
        <f t="shared" si="4"/>
        <v>3</v>
      </c>
      <c r="O14" s="1">
        <f t="shared" si="5"/>
        <v>1</v>
      </c>
    </row>
    <row r="15" spans="1:15" x14ac:dyDescent="0.2">
      <c r="A15" s="1">
        <v>13</v>
      </c>
      <c r="B15" t="s">
        <v>30</v>
      </c>
      <c r="C15" t="s">
        <v>31</v>
      </c>
      <c r="D15" s="4">
        <f>IF(ISNA(VLOOKUP('Student list'!$A15,Quiz1!$A:$G,8,0)),0,1)</f>
        <v>1</v>
      </c>
      <c r="E15" s="4">
        <f>IF(ISNA(VLOOKUP('Student list'!$A15,Quiz2!$A:$G,7,0)),0,1)</f>
        <v>0</v>
      </c>
      <c r="F15" s="4">
        <f t="shared" si="0"/>
        <v>1</v>
      </c>
      <c r="G15" s="4">
        <f>IF(ISNA(VLOOKUP('Student list'!$A15,Quiz3!$A:$G,8,0)),0,1)</f>
        <v>0</v>
      </c>
      <c r="H15" s="4">
        <f>IF(ISNA(VLOOKUP('Student list'!$A15,Quiz4!$A:$G,8,0)),0,1)</f>
        <v>1</v>
      </c>
      <c r="I15" s="4">
        <f t="shared" si="1"/>
        <v>1</v>
      </c>
      <c r="J15" s="4">
        <f>IF(ISNA(VLOOKUP('Student list'!$A15,Quiz5!$A:$G,8,0)),0,1)</f>
        <v>1</v>
      </c>
      <c r="K15" s="4">
        <f>IF(ISNA(VLOOKUP('Student list'!$A15,Quiz6!$A:$G,8,0)),0,1)</f>
        <v>1</v>
      </c>
      <c r="L15" s="4">
        <f t="shared" si="2"/>
        <v>1</v>
      </c>
      <c r="M15" s="1">
        <f t="shared" si="3"/>
        <v>4</v>
      </c>
      <c r="N15" s="1">
        <f t="shared" si="4"/>
        <v>3</v>
      </c>
      <c r="O15" s="1">
        <f t="shared" si="5"/>
        <v>1</v>
      </c>
    </row>
    <row r="16" spans="1:15" x14ac:dyDescent="0.2">
      <c r="A16" s="1">
        <v>14</v>
      </c>
      <c r="B16" t="s">
        <v>32</v>
      </c>
      <c r="C16" t="s">
        <v>33</v>
      </c>
      <c r="D16" s="4">
        <f>IF(ISNA(VLOOKUP('Student list'!$A16,Quiz1!$A:$G,8,0)),0,1)</f>
        <v>0</v>
      </c>
      <c r="E16" s="4">
        <f>IF(ISNA(VLOOKUP('Student list'!$A16,Quiz2!$A:$G,7,0)),0,1)</f>
        <v>1</v>
      </c>
      <c r="F16" s="4">
        <f t="shared" si="0"/>
        <v>1</v>
      </c>
      <c r="G16" s="4">
        <f>IF(ISNA(VLOOKUP('Student list'!$A16,Quiz3!$A:$G,8,0)),0,1)</f>
        <v>0</v>
      </c>
      <c r="H16" s="4">
        <f>IF(ISNA(VLOOKUP('Student list'!$A16,Quiz4!$A:$G,8,0)),0,1)</f>
        <v>1</v>
      </c>
      <c r="I16" s="4">
        <f t="shared" si="1"/>
        <v>1</v>
      </c>
      <c r="J16" s="4">
        <f>IF(ISNA(VLOOKUP('Student list'!$A16,Quiz5!$A:$G,8,0)),0,1)</f>
        <v>0</v>
      </c>
      <c r="K16" s="4">
        <f>IF(ISNA(VLOOKUP('Student list'!$A16,Quiz6!$A:$G,8,0)),0,1)</f>
        <v>0</v>
      </c>
      <c r="L16" s="4">
        <f t="shared" si="2"/>
        <v>0</v>
      </c>
      <c r="M16" s="1">
        <f t="shared" si="3"/>
        <v>2</v>
      </c>
      <c r="N16" s="1">
        <f t="shared" si="4"/>
        <v>2</v>
      </c>
      <c r="O16" s="1">
        <f t="shared" si="5"/>
        <v>0</v>
      </c>
    </row>
    <row r="17" spans="1:17" x14ac:dyDescent="0.2">
      <c r="A17" s="1">
        <v>15</v>
      </c>
      <c r="B17" t="s">
        <v>34</v>
      </c>
      <c r="C17" t="s">
        <v>35</v>
      </c>
      <c r="D17" s="4">
        <f>IF(ISNA(VLOOKUP('Student list'!$A17,Quiz1!$A:$G,8,0)),0,1)</f>
        <v>1</v>
      </c>
      <c r="E17" s="4">
        <f>IF(ISNA(VLOOKUP('Student list'!$A17,Quiz2!$A:$G,7,0)),0,1)</f>
        <v>1</v>
      </c>
      <c r="F17" s="4">
        <f t="shared" si="0"/>
        <v>1</v>
      </c>
      <c r="G17" s="4">
        <f>IF(ISNA(VLOOKUP('Student list'!$A17,Quiz3!$A:$G,8,0)),0,1)</f>
        <v>0</v>
      </c>
      <c r="H17" s="4">
        <f>IF(ISNA(VLOOKUP('Student list'!$A17,Quiz4!$A:$G,8,0)),0,1)</f>
        <v>1</v>
      </c>
      <c r="I17" s="4">
        <f t="shared" si="1"/>
        <v>1</v>
      </c>
      <c r="J17" s="4">
        <f>IF(ISNA(VLOOKUP('Student list'!$A17,Quiz5!$A:$G,8,0)),0,1)</f>
        <v>1</v>
      </c>
      <c r="K17" s="4">
        <f>IF(ISNA(VLOOKUP('Student list'!$A17,Quiz6!$A:$G,8,0)),0,1)</f>
        <v>1</v>
      </c>
      <c r="L17" s="4">
        <f t="shared" si="2"/>
        <v>1</v>
      </c>
      <c r="M17" s="1">
        <f t="shared" si="3"/>
        <v>5</v>
      </c>
      <c r="N17" s="1">
        <f t="shared" si="4"/>
        <v>3</v>
      </c>
      <c r="O17" s="1">
        <f t="shared" si="5"/>
        <v>1</v>
      </c>
    </row>
    <row r="18" spans="1:17" x14ac:dyDescent="0.2">
      <c r="A18" s="1">
        <v>16</v>
      </c>
      <c r="B18" t="s">
        <v>36</v>
      </c>
      <c r="C18" t="s">
        <v>37</v>
      </c>
      <c r="D18" s="4">
        <f>IF(ISNA(VLOOKUP('Student list'!$A18,Quiz1!$A:$G,8,0)),0,1)</f>
        <v>1</v>
      </c>
      <c r="E18" s="4">
        <f>IF(ISNA(VLOOKUP('Student list'!$A18,Quiz2!$A:$G,7,0)),0,1)</f>
        <v>0</v>
      </c>
      <c r="F18" s="4">
        <f t="shared" si="0"/>
        <v>1</v>
      </c>
      <c r="G18" s="4">
        <f>IF(ISNA(VLOOKUP('Student list'!$A18,Quiz3!$A:$G,8,0)),0,1)</f>
        <v>1</v>
      </c>
      <c r="H18" s="4">
        <f>IF(ISNA(VLOOKUP('Student list'!$A18,Quiz4!$A:$G,8,0)),0,1)</f>
        <v>1</v>
      </c>
      <c r="I18" s="4">
        <f t="shared" si="1"/>
        <v>1</v>
      </c>
      <c r="J18" s="4">
        <f>IF(ISNA(VLOOKUP('Student list'!$A18,Quiz5!$A:$G,8,0)),0,1)</f>
        <v>1</v>
      </c>
      <c r="K18" s="4">
        <f>IF(ISNA(VLOOKUP('Student list'!$A18,Quiz6!$A:$G,8,0)),0,1)</f>
        <v>0</v>
      </c>
      <c r="L18" s="4">
        <f t="shared" si="2"/>
        <v>1</v>
      </c>
      <c r="M18" s="1">
        <f t="shared" si="3"/>
        <v>4</v>
      </c>
      <c r="N18" s="1">
        <f t="shared" si="4"/>
        <v>3</v>
      </c>
      <c r="O18" s="1">
        <f t="shared" si="5"/>
        <v>1</v>
      </c>
    </row>
    <row r="19" spans="1:17" x14ac:dyDescent="0.2">
      <c r="A19" s="1">
        <v>17</v>
      </c>
      <c r="B19" t="s">
        <v>38</v>
      </c>
      <c r="C19" t="s">
        <v>39</v>
      </c>
      <c r="D19" s="4">
        <f>IF(ISNA(VLOOKUP('Student list'!$A19,Quiz1!$A:$G,8,0)),0,1)</f>
        <v>1</v>
      </c>
      <c r="E19" s="4">
        <f>IF(ISNA(VLOOKUP('Student list'!$A19,Quiz2!$A:$G,7,0)),0,1)</f>
        <v>1</v>
      </c>
      <c r="F19" s="4">
        <f t="shared" si="0"/>
        <v>1</v>
      </c>
      <c r="G19" s="4">
        <f>IF(ISNA(VLOOKUP('Student list'!$A19,Quiz3!$A:$G,8,0)),0,1)</f>
        <v>1</v>
      </c>
      <c r="H19" s="4">
        <f>IF(ISNA(VLOOKUP('Student list'!$A19,Quiz4!$A:$G,8,0)),0,1)</f>
        <v>0</v>
      </c>
      <c r="I19" s="4">
        <f t="shared" si="1"/>
        <v>1</v>
      </c>
      <c r="J19" s="4">
        <f>IF(ISNA(VLOOKUP('Student list'!$A19,Quiz5!$A:$G,8,0)),0,1)</f>
        <v>1</v>
      </c>
      <c r="K19" s="4">
        <f>IF(ISNA(VLOOKUP('Student list'!$A19,Quiz6!$A:$G,8,0)),0,1)</f>
        <v>0</v>
      </c>
      <c r="L19" s="4">
        <f t="shared" si="2"/>
        <v>1</v>
      </c>
      <c r="M19" s="1">
        <f t="shared" si="3"/>
        <v>4</v>
      </c>
      <c r="N19" s="1">
        <f t="shared" si="4"/>
        <v>3</v>
      </c>
      <c r="O19" s="1">
        <f t="shared" si="5"/>
        <v>1</v>
      </c>
    </row>
    <row r="20" spans="1:17" x14ac:dyDescent="0.2">
      <c r="A20" s="1">
        <v>18</v>
      </c>
      <c r="B20" t="s">
        <v>40</v>
      </c>
      <c r="C20" t="s">
        <v>41</v>
      </c>
      <c r="D20" s="4">
        <f>IF(ISNA(VLOOKUP('Student list'!$A20,Quiz1!$A:$G,8,0)),0,1)</f>
        <v>0</v>
      </c>
      <c r="E20" s="4">
        <f>IF(ISNA(VLOOKUP('Student list'!$A20,Quiz2!$A:$G,7,0)),0,1)</f>
        <v>1</v>
      </c>
      <c r="F20" s="4">
        <f t="shared" si="0"/>
        <v>1</v>
      </c>
      <c r="G20" s="4">
        <f>IF(ISNA(VLOOKUP('Student list'!$A20,Quiz3!$A:$G,8,0)),0,1)</f>
        <v>1</v>
      </c>
      <c r="H20" s="4">
        <f>IF(ISNA(VLOOKUP('Student list'!$A20,Quiz4!$A:$G,8,0)),0,1)</f>
        <v>0</v>
      </c>
      <c r="I20" s="4">
        <f t="shared" si="1"/>
        <v>1</v>
      </c>
      <c r="J20" s="4">
        <f>IF(ISNA(VLOOKUP('Student list'!$A20,Quiz5!$A:$G,8,0)),0,1)</f>
        <v>0</v>
      </c>
      <c r="K20" s="4">
        <f>IF(ISNA(VLOOKUP('Student list'!$A20,Quiz6!$A:$G,8,0)),0,1)</f>
        <v>1</v>
      </c>
      <c r="L20" s="4">
        <f t="shared" si="2"/>
        <v>1</v>
      </c>
      <c r="M20" s="1">
        <f t="shared" si="3"/>
        <v>3</v>
      </c>
      <c r="N20" s="1">
        <f t="shared" si="4"/>
        <v>3</v>
      </c>
      <c r="O20" s="1">
        <f t="shared" si="5"/>
        <v>1</v>
      </c>
    </row>
    <row r="21" spans="1:17" x14ac:dyDescent="0.2">
      <c r="A21" s="1">
        <v>19</v>
      </c>
      <c r="B21" t="s">
        <v>42</v>
      </c>
      <c r="C21" t="s">
        <v>43</v>
      </c>
      <c r="D21" s="4">
        <f>IF(ISNA(VLOOKUP('Student list'!$A21,Quiz1!$A:$G,8,0)),0,1)</f>
        <v>0</v>
      </c>
      <c r="E21" s="4">
        <f>IF(ISNA(VLOOKUP('Student list'!$A21,Quiz2!$A:$G,7,0)),0,1)</f>
        <v>1</v>
      </c>
      <c r="F21" s="4">
        <f t="shared" si="0"/>
        <v>1</v>
      </c>
      <c r="G21" s="4">
        <f>IF(ISNA(VLOOKUP('Student list'!$A21,Quiz3!$A:$G,8,0)),0,1)</f>
        <v>1</v>
      </c>
      <c r="H21" s="4">
        <f>IF(ISNA(VLOOKUP('Student list'!$A21,Quiz4!$A:$G,8,0)),0,1)</f>
        <v>1</v>
      </c>
      <c r="I21" s="4">
        <f t="shared" si="1"/>
        <v>1</v>
      </c>
      <c r="J21" s="4">
        <f>IF(ISNA(VLOOKUP('Student list'!$A21,Quiz5!$A:$G,8,0)),0,1)</f>
        <v>1</v>
      </c>
      <c r="K21" s="4">
        <f>IF(ISNA(VLOOKUP('Student list'!$A21,Quiz6!$A:$G,8,0)),0,1)</f>
        <v>0</v>
      </c>
      <c r="L21" s="4">
        <f t="shared" si="2"/>
        <v>1</v>
      </c>
      <c r="M21" s="1">
        <f t="shared" si="3"/>
        <v>4</v>
      </c>
      <c r="N21" s="1">
        <f t="shared" si="4"/>
        <v>3</v>
      </c>
      <c r="O21" s="1">
        <f t="shared" si="5"/>
        <v>1</v>
      </c>
    </row>
    <row r="22" spans="1:17" x14ac:dyDescent="0.2">
      <c r="A22" s="1">
        <v>20</v>
      </c>
      <c r="B22" t="s">
        <v>44</v>
      </c>
      <c r="C22" t="s">
        <v>45</v>
      </c>
      <c r="D22" s="4">
        <f>IF(ISNA(VLOOKUP('Student list'!$A22,Quiz1!$A:$G,8,0)),0,1)</f>
        <v>0</v>
      </c>
      <c r="E22" s="4">
        <f>IF(ISNA(VLOOKUP('Student list'!$A22,Quiz2!$A:$G,7,0)),0,1)</f>
        <v>1</v>
      </c>
      <c r="F22" s="4">
        <f t="shared" si="0"/>
        <v>1</v>
      </c>
      <c r="G22" s="4">
        <f>IF(ISNA(VLOOKUP('Student list'!$A22,Quiz3!$A:$G,8,0)),0,1)</f>
        <v>0</v>
      </c>
      <c r="H22" s="4">
        <f>IF(ISNA(VLOOKUP('Student list'!$A22,Quiz4!$A:$G,8,0)),0,1)</f>
        <v>0</v>
      </c>
      <c r="I22" s="4">
        <f t="shared" si="1"/>
        <v>0</v>
      </c>
      <c r="J22" s="4">
        <f>IF(ISNA(VLOOKUP('Student list'!$A22,Quiz5!$A:$G,8,0)),0,1)</f>
        <v>0</v>
      </c>
      <c r="K22" s="4">
        <f>IF(ISNA(VLOOKUP('Student list'!$A22,Quiz6!$A:$G,8,0)),0,1)</f>
        <v>1</v>
      </c>
      <c r="L22" s="4">
        <f t="shared" si="2"/>
        <v>1</v>
      </c>
      <c r="M22" s="1">
        <f t="shared" si="3"/>
        <v>2</v>
      </c>
      <c r="N22" s="1">
        <f t="shared" si="4"/>
        <v>2</v>
      </c>
      <c r="O22" s="1">
        <f t="shared" si="5"/>
        <v>0</v>
      </c>
    </row>
    <row r="23" spans="1:17" x14ac:dyDescent="0.2">
      <c r="C23" s="6" t="s">
        <v>64</v>
      </c>
      <c r="D23" s="4">
        <f>SUM(D3:D22)</f>
        <v>10</v>
      </c>
      <c r="E23" s="4">
        <f t="shared" ref="E23:F23" si="6">SUM(E3:E22)</f>
        <v>13</v>
      </c>
      <c r="F23" s="4">
        <f t="shared" si="6"/>
        <v>16</v>
      </c>
      <c r="G23" s="4">
        <f>SUM(G3:G22)</f>
        <v>9</v>
      </c>
      <c r="H23" s="4">
        <f t="shared" ref="H23:L23" si="7">SUM(H3:H22)</f>
        <v>11</v>
      </c>
      <c r="I23" s="4">
        <f t="shared" si="7"/>
        <v>16</v>
      </c>
      <c r="J23" s="4">
        <f t="shared" si="7"/>
        <v>10</v>
      </c>
      <c r="K23" s="4">
        <f t="shared" si="7"/>
        <v>13</v>
      </c>
      <c r="L23" s="4">
        <f t="shared" si="7"/>
        <v>18</v>
      </c>
      <c r="M23" s="1"/>
      <c r="O23" s="1">
        <f t="shared" ref="O23" si="8">SUM(O3:O22)</f>
        <v>12</v>
      </c>
    </row>
    <row r="24" spans="1:17" x14ac:dyDescent="0.2">
      <c r="C24" s="6" t="s">
        <v>63</v>
      </c>
      <c r="D24" s="4">
        <f>COUNT(D3:D22)</f>
        <v>20</v>
      </c>
      <c r="E24" s="4">
        <f t="shared" ref="E24:L24" si="9">COUNT(E3:E22)</f>
        <v>20</v>
      </c>
      <c r="F24" s="4">
        <f t="shared" si="9"/>
        <v>20</v>
      </c>
      <c r="G24" s="4">
        <f t="shared" si="9"/>
        <v>20</v>
      </c>
      <c r="H24" s="4">
        <f t="shared" si="9"/>
        <v>20</v>
      </c>
      <c r="I24" s="4">
        <f t="shared" si="9"/>
        <v>20</v>
      </c>
      <c r="J24" s="4">
        <f t="shared" si="9"/>
        <v>20</v>
      </c>
      <c r="K24" s="4">
        <f t="shared" si="9"/>
        <v>20</v>
      </c>
      <c r="L24" s="4">
        <f t="shared" si="9"/>
        <v>20</v>
      </c>
      <c r="M24" s="1"/>
      <c r="O24" s="1">
        <f t="shared" ref="O24" si="10">COUNT(O3:O22)</f>
        <v>20</v>
      </c>
    </row>
    <row r="25" spans="1:17" x14ac:dyDescent="0.2">
      <c r="C25" s="6" t="s">
        <v>65</v>
      </c>
      <c r="D25" s="5">
        <f>D23/D24</f>
        <v>0.5</v>
      </c>
      <c r="E25" s="5">
        <f t="shared" ref="E25:O25" si="11">E23/E24</f>
        <v>0.65</v>
      </c>
      <c r="F25" s="5">
        <f t="shared" si="11"/>
        <v>0.8</v>
      </c>
      <c r="G25" s="5">
        <f t="shared" si="11"/>
        <v>0.45</v>
      </c>
      <c r="H25" s="5">
        <f t="shared" si="11"/>
        <v>0.55000000000000004</v>
      </c>
      <c r="I25" s="5">
        <f t="shared" si="11"/>
        <v>0.8</v>
      </c>
      <c r="J25" s="5">
        <f t="shared" si="11"/>
        <v>0.5</v>
      </c>
      <c r="K25" s="5">
        <f t="shared" si="11"/>
        <v>0.65</v>
      </c>
      <c r="L25" s="5">
        <f t="shared" si="11"/>
        <v>0.9</v>
      </c>
      <c r="M25" s="3"/>
      <c r="N25" s="3"/>
      <c r="O25" s="7">
        <f t="shared" si="11"/>
        <v>0.6</v>
      </c>
    </row>
    <row r="29" spans="1:17" x14ac:dyDescent="0.2">
      <c r="Q29" s="1"/>
    </row>
    <row r="30" spans="1:17" x14ac:dyDescent="0.2">
      <c r="Q30" s="1"/>
    </row>
    <row r="31" spans="1:17" x14ac:dyDescent="0.2">
      <c r="Q31" s="1"/>
    </row>
    <row r="32" spans="1:17" x14ac:dyDescent="0.2">
      <c r="Q32" s="1"/>
    </row>
    <row r="33" spans="17:17" x14ac:dyDescent="0.2">
      <c r="Q33" s="1"/>
    </row>
    <row r="34" spans="17:17" x14ac:dyDescent="0.2">
      <c r="Q34" s="1"/>
    </row>
    <row r="35" spans="17:17" x14ac:dyDescent="0.2">
      <c r="Q35" s="1"/>
    </row>
    <row r="36" spans="17:17" x14ac:dyDescent="0.2">
      <c r="Q36" s="1"/>
    </row>
    <row r="37" spans="17:17" x14ac:dyDescent="0.2">
      <c r="Q37" s="1"/>
    </row>
    <row r="38" spans="17:17" x14ac:dyDescent="0.2">
      <c r="Q38" s="1"/>
    </row>
    <row r="39" spans="17:17" x14ac:dyDescent="0.2">
      <c r="Q39" s="1"/>
    </row>
    <row r="40" spans="17:17" x14ac:dyDescent="0.2">
      <c r="Q40" s="1"/>
    </row>
    <row r="41" spans="17:17" x14ac:dyDescent="0.2">
      <c r="Q41" s="1"/>
    </row>
    <row r="42" spans="17:17" x14ac:dyDescent="0.2">
      <c r="Q42" s="1"/>
    </row>
    <row r="43" spans="17:17" x14ac:dyDescent="0.2">
      <c r="Q43" s="1"/>
    </row>
    <row r="44" spans="17:17" x14ac:dyDescent="0.2">
      <c r="Q44" s="1"/>
    </row>
    <row r="45" spans="17:17" x14ac:dyDescent="0.2">
      <c r="Q45" s="1"/>
    </row>
    <row r="46" spans="17:17" x14ac:dyDescent="0.2">
      <c r="Q46" s="1"/>
    </row>
    <row r="47" spans="17:17" x14ac:dyDescent="0.2">
      <c r="Q47" s="1"/>
    </row>
    <row r="48" spans="17:17" x14ac:dyDescent="0.2">
      <c r="Q48" s="1"/>
    </row>
  </sheetData>
  <mergeCells count="4">
    <mergeCell ref="D1:F1"/>
    <mergeCell ref="G1:I1"/>
    <mergeCell ref="J1:L1"/>
    <mergeCell ref="M1:O1"/>
  </mergeCells>
  <phoneticPr fontId="1" type="noConversion"/>
  <conditionalFormatting sqref="O3:O22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{A8F75963-327F-4B0C-9E3F-1B99E0848400}</x14:id>
        </ext>
      </extLst>
    </cfRule>
  </conditionalFormatting>
  <conditionalFormatting sqref="D25:O2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{E1C7E687-7C74-449D-9B74-9774C9137335}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clearloop">
                <anchor moveWithCells="1" sizeWithCells="1">
                  <from>
                    <xdr:col>2</xdr:col>
                    <xdr:colOff>1095375</xdr:colOff>
                    <xdr:row>29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teback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8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eckcomplete">
                <anchor moveWithCells="1" siz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11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moveempty2">
                <anchor moveWithCells="1" sizeWithCells="1">
                  <from>
                    <xdr:col>12</xdr:col>
                    <xdr:colOff>9525</xdr:colOff>
                    <xdr:row>28</xdr:row>
                    <xdr:rowOff>161925</xdr:rowOff>
                  </from>
                  <to>
                    <xdr:col>14</xdr:col>
                    <xdr:colOff>28575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F75963-327F-4B0C-9E3F-1B99E0848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N3:N22</xm:sqref>
        </x14:conditionalFormatting>
        <x14:conditionalFormatting xmlns:xm="http://schemas.microsoft.com/office/excel/2006/main">
          <x14:cfRule type="dataBar" id="{E1C7E687-7C74-449D-9B74-9774C9137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M3:M22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50"/>
  <sheetViews>
    <sheetView workbookViewId="0">
      <selection activeCell="A2" sqref="A2:M9"/>
    </sheetView>
  </sheetViews>
  <sheetFormatPr defaultRowHeight="14.25" x14ac:dyDescent="0.2"/>
  <cols>
    <col min="1" max="1" width="9.125" style="1"/>
    <col min="3" max="3" width="10.625" bestFit="1" customWidth="1"/>
    <col min="4" max="4" width="9.125" style="1"/>
  </cols>
  <sheetData>
    <row r="1" spans="1:13" x14ac:dyDescent="0.2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s="1" t="s">
        <v>5</v>
      </c>
      <c r="G1" s="1" t="s">
        <v>68</v>
      </c>
      <c r="H1" s="1" t="s">
        <v>70</v>
      </c>
      <c r="I1" s="1" t="s">
        <v>71</v>
      </c>
      <c r="J1" s="1" t="s">
        <v>72</v>
      </c>
      <c r="K1" s="1" t="s">
        <v>73</v>
      </c>
      <c r="L1" s="1" t="s">
        <v>74</v>
      </c>
      <c r="M1" s="1" t="s">
        <v>75</v>
      </c>
    </row>
    <row r="2" spans="1:13" x14ac:dyDescent="0.2">
      <c r="A2" s="1">
        <f ca="1">RANDBETWEEN(1,20)</f>
        <v>12</v>
      </c>
      <c r="B2" t="str">
        <f ca="1">VLOOKUP($A2,'Student list'!$A:$C,2,0)</f>
        <v>Fleta</v>
      </c>
      <c r="C2" t="str">
        <f ca="1">VLOOKUP($A2,'Student list'!$A:$C,3,0)</f>
        <v>Desmond</v>
      </c>
      <c r="D2" s="1" t="str">
        <f ca="1">IF(RANDBETWEEN(0,10)&lt;&gt;0,"A","")</f>
        <v>A</v>
      </c>
      <c r="E2" s="1" t="str">
        <f t="shared" ref="E2:M2" ca="1" si="0">IF(RANDBETWEEN(0,10)&lt;&gt;0,"A","")</f>
        <v>A</v>
      </c>
      <c r="F2" s="1" t="str">
        <f t="shared" ca="1" si="0"/>
        <v>A</v>
      </c>
      <c r="G2" s="1" t="str">
        <f t="shared" ca="1" si="0"/>
        <v>A</v>
      </c>
      <c r="H2" s="1" t="str">
        <f t="shared" ca="1" si="0"/>
        <v>A</v>
      </c>
      <c r="I2" s="1" t="str">
        <f t="shared" ca="1" si="0"/>
        <v>A</v>
      </c>
      <c r="J2" s="1" t="str">
        <f t="shared" ca="1" si="0"/>
        <v>A</v>
      </c>
      <c r="K2" s="1" t="str">
        <f t="shared" ca="1" si="0"/>
        <v>A</v>
      </c>
      <c r="L2" s="1" t="str">
        <f t="shared" ca="1" si="0"/>
        <v>A</v>
      </c>
      <c r="M2" s="1" t="str">
        <f t="shared" ca="1" si="0"/>
        <v>A</v>
      </c>
    </row>
    <row r="3" spans="1:13" x14ac:dyDescent="0.2">
      <c r="A3" s="1">
        <f t="shared" ref="A3:A50" ca="1" si="1">RANDBETWEEN(1,20)</f>
        <v>20</v>
      </c>
      <c r="B3" t="str">
        <f ca="1">VLOOKUP($A3,'Student list'!$A:$C,2,0)</f>
        <v>Jeanene</v>
      </c>
      <c r="C3" t="str">
        <f ca="1">VLOOKUP($A3,'Student list'!$A:$C,3,0)</f>
        <v>Brauer</v>
      </c>
      <c r="D3" s="1" t="str">
        <f t="shared" ref="D3:M31" ca="1" si="2">IF(RANDBETWEEN(0,10)&lt;&gt;0,"A","")</f>
        <v>A</v>
      </c>
      <c r="E3" s="1" t="str">
        <f t="shared" ca="1" si="2"/>
        <v>A</v>
      </c>
      <c r="F3" s="1" t="str">
        <f t="shared" ca="1" si="2"/>
        <v>A</v>
      </c>
      <c r="G3" s="1" t="str">
        <f t="shared" ca="1" si="2"/>
        <v>A</v>
      </c>
      <c r="H3" s="1" t="str">
        <f t="shared" ca="1" si="2"/>
        <v>A</v>
      </c>
      <c r="I3" s="1" t="str">
        <f t="shared" ca="1" si="2"/>
        <v>A</v>
      </c>
      <c r="J3" s="1" t="str">
        <f t="shared" ca="1" si="2"/>
        <v>A</v>
      </c>
      <c r="K3" s="1" t="str">
        <f t="shared" ca="1" si="2"/>
        <v>A</v>
      </c>
      <c r="L3" s="1" t="str">
        <f t="shared" ca="1" si="2"/>
        <v>A</v>
      </c>
      <c r="M3" s="1" t="str">
        <f t="shared" ca="1" si="2"/>
        <v>A</v>
      </c>
    </row>
    <row r="4" spans="1:13" x14ac:dyDescent="0.2">
      <c r="A4" s="1">
        <f t="shared" ca="1" si="1"/>
        <v>2</v>
      </c>
      <c r="B4" t="str">
        <f ca="1">VLOOKUP($A4,'Student list'!$A:$C,2,0)</f>
        <v>Kayce</v>
      </c>
      <c r="C4" t="str">
        <f ca="1">VLOOKUP($A4,'Student list'!$A:$C,3,0)</f>
        <v>Labar</v>
      </c>
      <c r="D4" s="1" t="str">
        <f t="shared" ca="1" si="2"/>
        <v>A</v>
      </c>
      <c r="E4" s="1" t="str">
        <f t="shared" ca="1" si="2"/>
        <v>A</v>
      </c>
      <c r="F4" s="1" t="str">
        <f t="shared" ca="1" si="2"/>
        <v>A</v>
      </c>
      <c r="G4" s="1" t="str">
        <f t="shared" ca="1" si="2"/>
        <v>A</v>
      </c>
      <c r="H4" s="1" t="str">
        <f t="shared" ca="1" si="2"/>
        <v>A</v>
      </c>
      <c r="I4" s="1" t="str">
        <f t="shared" ca="1" si="2"/>
        <v>A</v>
      </c>
      <c r="J4" s="1" t="str">
        <f t="shared" ca="1" si="2"/>
        <v>A</v>
      </c>
      <c r="K4" s="1" t="str">
        <f t="shared" ca="1" si="2"/>
        <v>A</v>
      </c>
      <c r="L4" s="1" t="str">
        <f t="shared" ca="1" si="2"/>
        <v>A</v>
      </c>
      <c r="M4" s="1" t="str">
        <f t="shared" ca="1" si="2"/>
        <v>A</v>
      </c>
    </row>
    <row r="5" spans="1:13" x14ac:dyDescent="0.2">
      <c r="A5" s="1">
        <f t="shared" ca="1" si="1"/>
        <v>10</v>
      </c>
      <c r="B5" t="str">
        <f ca="1">VLOOKUP($A5,'Student list'!$A:$C,2,0)</f>
        <v>Jenni</v>
      </c>
      <c r="C5" t="str">
        <f ca="1">VLOOKUP($A5,'Student list'!$A:$C,3,0)</f>
        <v>Kilmer</v>
      </c>
      <c r="D5" s="1" t="str">
        <f t="shared" ca="1" si="2"/>
        <v>A</v>
      </c>
      <c r="E5" s="1" t="str">
        <f t="shared" ca="1" si="2"/>
        <v>A</v>
      </c>
      <c r="F5" s="1" t="str">
        <f t="shared" ca="1" si="2"/>
        <v>A</v>
      </c>
      <c r="G5" s="1" t="str">
        <f t="shared" ca="1" si="2"/>
        <v>A</v>
      </c>
      <c r="H5" s="1" t="str">
        <f t="shared" ca="1" si="2"/>
        <v>A</v>
      </c>
      <c r="I5" s="1" t="str">
        <f t="shared" ca="1" si="2"/>
        <v>A</v>
      </c>
      <c r="J5" s="1" t="str">
        <f t="shared" ca="1" si="2"/>
        <v>A</v>
      </c>
      <c r="K5" s="1" t="str">
        <f t="shared" ca="1" si="2"/>
        <v>A</v>
      </c>
      <c r="L5" s="1" t="str">
        <f t="shared" ca="1" si="2"/>
        <v>A</v>
      </c>
      <c r="M5" s="1" t="str">
        <f t="shared" ca="1" si="2"/>
        <v>A</v>
      </c>
    </row>
    <row r="6" spans="1:13" x14ac:dyDescent="0.2">
      <c r="A6" s="1">
        <f t="shared" ca="1" si="1"/>
        <v>12</v>
      </c>
      <c r="B6" t="str">
        <f ca="1">VLOOKUP($A6,'Student list'!$A:$C,2,0)</f>
        <v>Fleta</v>
      </c>
      <c r="C6" t="str">
        <f ca="1">VLOOKUP($A6,'Student list'!$A:$C,3,0)</f>
        <v>Desmond</v>
      </c>
      <c r="D6" s="1" t="str">
        <f t="shared" ca="1" si="2"/>
        <v>A</v>
      </c>
      <c r="E6" s="1" t="str">
        <f t="shared" ca="1" si="2"/>
        <v>A</v>
      </c>
      <c r="F6" s="1" t="str">
        <f t="shared" ca="1" si="2"/>
        <v>A</v>
      </c>
      <c r="G6" s="1" t="str">
        <f t="shared" ca="1" si="2"/>
        <v>A</v>
      </c>
      <c r="H6" s="1" t="str">
        <f t="shared" ca="1" si="2"/>
        <v>A</v>
      </c>
      <c r="I6" s="1" t="str">
        <f t="shared" ca="1" si="2"/>
        <v>A</v>
      </c>
      <c r="J6" s="1" t="str">
        <f t="shared" ca="1" si="2"/>
        <v>A</v>
      </c>
      <c r="K6" s="1" t="str">
        <f t="shared" ca="1" si="2"/>
        <v>A</v>
      </c>
      <c r="L6" s="1" t="str">
        <f t="shared" ca="1" si="2"/>
        <v>A</v>
      </c>
      <c r="M6" s="1" t="str">
        <f t="shared" ca="1" si="2"/>
        <v>A</v>
      </c>
    </row>
    <row r="7" spans="1:13" x14ac:dyDescent="0.2">
      <c r="A7" s="1">
        <f t="shared" ca="1" si="1"/>
        <v>18</v>
      </c>
      <c r="B7" t="str">
        <f ca="1">VLOOKUP($A7,'Student list'!$A:$C,2,0)</f>
        <v>Hilma</v>
      </c>
      <c r="C7" t="str">
        <f ca="1">VLOOKUP($A7,'Student list'!$A:$C,3,0)</f>
        <v>Marcello</v>
      </c>
      <c r="D7" s="1" t="str">
        <f t="shared" ca="1" si="2"/>
        <v/>
      </c>
      <c r="E7" s="1" t="str">
        <f t="shared" ca="1" si="2"/>
        <v>A</v>
      </c>
      <c r="F7" s="1" t="str">
        <f t="shared" ca="1" si="2"/>
        <v/>
      </c>
      <c r="G7" s="1" t="str">
        <f t="shared" ca="1" si="2"/>
        <v>A</v>
      </c>
      <c r="H7" s="1" t="str">
        <f t="shared" ca="1" si="2"/>
        <v>A</v>
      </c>
      <c r="I7" s="1" t="str">
        <f t="shared" ca="1" si="2"/>
        <v>A</v>
      </c>
      <c r="J7" s="1" t="str">
        <f t="shared" ca="1" si="2"/>
        <v>A</v>
      </c>
      <c r="K7" s="1" t="str">
        <f t="shared" ca="1" si="2"/>
        <v>A</v>
      </c>
      <c r="L7" s="1" t="str">
        <f t="shared" ca="1" si="2"/>
        <v>A</v>
      </c>
      <c r="M7" s="1" t="str">
        <f t="shared" ca="1" si="2"/>
        <v>A</v>
      </c>
    </row>
    <row r="8" spans="1:13" x14ac:dyDescent="0.2">
      <c r="A8" s="1">
        <f t="shared" ca="1" si="1"/>
        <v>12</v>
      </c>
      <c r="B8" t="str">
        <f ca="1">VLOOKUP($A8,'Student list'!$A:$C,2,0)</f>
        <v>Fleta</v>
      </c>
      <c r="C8" t="str">
        <f ca="1">VLOOKUP($A8,'Student list'!$A:$C,3,0)</f>
        <v>Desmond</v>
      </c>
      <c r="D8" s="1" t="str">
        <f t="shared" ca="1" si="2"/>
        <v>A</v>
      </c>
      <c r="E8" s="1" t="str">
        <f t="shared" ca="1" si="2"/>
        <v>A</v>
      </c>
      <c r="F8" s="1" t="str">
        <f t="shared" ca="1" si="2"/>
        <v>A</v>
      </c>
      <c r="G8" s="1" t="str">
        <f t="shared" ca="1" si="2"/>
        <v>A</v>
      </c>
      <c r="H8" s="1" t="str">
        <f t="shared" ca="1" si="2"/>
        <v>A</v>
      </c>
      <c r="I8" s="1" t="str">
        <f t="shared" ca="1" si="2"/>
        <v>A</v>
      </c>
      <c r="J8" s="1" t="str">
        <f t="shared" ca="1" si="2"/>
        <v>A</v>
      </c>
      <c r="K8" s="1" t="str">
        <f t="shared" ca="1" si="2"/>
        <v>A</v>
      </c>
      <c r="L8" s="1" t="str">
        <f t="shared" ca="1" si="2"/>
        <v>A</v>
      </c>
      <c r="M8" s="1" t="str">
        <f t="shared" ca="1" si="2"/>
        <v>A</v>
      </c>
    </row>
    <row r="9" spans="1:13" x14ac:dyDescent="0.2">
      <c r="A9" s="1">
        <f t="shared" ca="1" si="1"/>
        <v>1</v>
      </c>
      <c r="B9" t="str">
        <f ca="1">VLOOKUP($A9,'Student list'!$A:$C,2,0)</f>
        <v>Manda</v>
      </c>
      <c r="C9" t="str">
        <f ca="1">VLOOKUP($A9,'Student list'!$A:$C,3,0)</f>
        <v>Otero</v>
      </c>
      <c r="D9" s="1" t="str">
        <f t="shared" ca="1" si="2"/>
        <v>A</v>
      </c>
      <c r="E9" s="1" t="str">
        <f t="shared" ca="1" si="2"/>
        <v>A</v>
      </c>
      <c r="F9" s="1" t="str">
        <f t="shared" ca="1" si="2"/>
        <v/>
      </c>
      <c r="G9" s="1" t="str">
        <f t="shared" ca="1" si="2"/>
        <v>A</v>
      </c>
      <c r="H9" s="1" t="str">
        <f t="shared" ca="1" si="2"/>
        <v>A</v>
      </c>
      <c r="I9" s="1" t="str">
        <f t="shared" ca="1" si="2"/>
        <v>A</v>
      </c>
      <c r="J9" s="1" t="str">
        <f t="shared" ca="1" si="2"/>
        <v>A</v>
      </c>
      <c r="K9" s="1" t="str">
        <f t="shared" ca="1" si="2"/>
        <v>A</v>
      </c>
      <c r="L9" s="1" t="str">
        <f t="shared" ca="1" si="2"/>
        <v>A</v>
      </c>
      <c r="M9" s="1" t="str">
        <f t="shared" ca="1" si="2"/>
        <v>A</v>
      </c>
    </row>
    <row r="10" spans="1:13" x14ac:dyDescent="0.2">
      <c r="A10" s="1">
        <f t="shared" ca="1" si="1"/>
        <v>15</v>
      </c>
      <c r="B10" t="str">
        <f ca="1">VLOOKUP($A10,'Student list'!$A:$C,2,0)</f>
        <v>Francesca</v>
      </c>
      <c r="C10" t="str">
        <f ca="1">VLOOKUP($A10,'Student list'!$A:$C,3,0)</f>
        <v>Platner</v>
      </c>
      <c r="D10" s="1" t="str">
        <f t="shared" ca="1" si="2"/>
        <v>A</v>
      </c>
      <c r="E10" s="1" t="str">
        <f t="shared" ca="1" si="2"/>
        <v>A</v>
      </c>
      <c r="F10" s="1" t="str">
        <f t="shared" ca="1" si="2"/>
        <v>A</v>
      </c>
      <c r="G10" s="1" t="str">
        <f t="shared" ca="1" si="2"/>
        <v>A</v>
      </c>
      <c r="H10" s="1" t="str">
        <f t="shared" ca="1" si="2"/>
        <v>A</v>
      </c>
      <c r="I10" s="1" t="str">
        <f t="shared" ca="1" si="2"/>
        <v>A</v>
      </c>
      <c r="J10" s="1" t="str">
        <f t="shared" ca="1" si="2"/>
        <v>A</v>
      </c>
      <c r="K10" s="1" t="str">
        <f t="shared" ca="1" si="2"/>
        <v>A</v>
      </c>
      <c r="L10" s="1" t="str">
        <f t="shared" ca="1" si="2"/>
        <v>A</v>
      </c>
      <c r="M10" s="1" t="str">
        <f t="shared" ca="1" si="2"/>
        <v>A</v>
      </c>
    </row>
    <row r="11" spans="1:13" x14ac:dyDescent="0.2">
      <c r="A11" s="1">
        <f t="shared" ca="1" si="1"/>
        <v>11</v>
      </c>
      <c r="B11" t="str">
        <f ca="1">VLOOKUP($A11,'Student list'!$A:$C,2,0)</f>
        <v>Tomika</v>
      </c>
      <c r="C11" t="str">
        <f ca="1">VLOOKUP($A11,'Student list'!$A:$C,3,0)</f>
        <v>Villa</v>
      </c>
      <c r="D11" s="1" t="str">
        <f t="shared" ca="1" si="2"/>
        <v>A</v>
      </c>
      <c r="E11" s="1" t="str">
        <f t="shared" ca="1" si="2"/>
        <v/>
      </c>
      <c r="F11" s="1" t="str">
        <f t="shared" ca="1" si="2"/>
        <v>A</v>
      </c>
      <c r="G11" s="1" t="str">
        <f t="shared" ca="1" si="2"/>
        <v>A</v>
      </c>
      <c r="H11" s="1" t="str">
        <f t="shared" ca="1" si="2"/>
        <v>A</v>
      </c>
      <c r="I11" s="1" t="str">
        <f t="shared" ca="1" si="2"/>
        <v>A</v>
      </c>
      <c r="J11" s="1" t="str">
        <f t="shared" ca="1" si="2"/>
        <v>A</v>
      </c>
      <c r="K11" s="1" t="str">
        <f t="shared" ca="1" si="2"/>
        <v>A</v>
      </c>
      <c r="L11" s="1" t="str">
        <f t="shared" ca="1" si="2"/>
        <v/>
      </c>
      <c r="M11" s="1" t="str">
        <f t="shared" ca="1" si="2"/>
        <v>A</v>
      </c>
    </row>
    <row r="12" spans="1:13" x14ac:dyDescent="0.2">
      <c r="A12" s="1">
        <f t="shared" ca="1" si="1"/>
        <v>3</v>
      </c>
      <c r="B12" t="str">
        <f ca="1">VLOOKUP($A12,'Student list'!$A:$C,2,0)</f>
        <v>Elena</v>
      </c>
      <c r="C12" t="str">
        <f ca="1">VLOOKUP($A12,'Student list'!$A:$C,3,0)</f>
        <v>Dickerson</v>
      </c>
      <c r="D12" s="1" t="str">
        <f t="shared" ca="1" si="2"/>
        <v>A</v>
      </c>
      <c r="E12" s="1" t="str">
        <f t="shared" ca="1" si="2"/>
        <v>A</v>
      </c>
      <c r="F12" s="1" t="str">
        <f t="shared" ca="1" si="2"/>
        <v>A</v>
      </c>
      <c r="G12" s="1" t="str">
        <f t="shared" ca="1" si="2"/>
        <v>A</v>
      </c>
      <c r="H12" s="1" t="str">
        <f t="shared" ca="1" si="2"/>
        <v>A</v>
      </c>
      <c r="I12" s="1" t="str">
        <f t="shared" ca="1" si="2"/>
        <v>A</v>
      </c>
      <c r="J12" s="1" t="str">
        <f t="shared" ca="1" si="2"/>
        <v>A</v>
      </c>
      <c r="K12" s="1" t="str">
        <f t="shared" ca="1" si="2"/>
        <v>A</v>
      </c>
      <c r="L12" s="1" t="str">
        <f t="shared" ca="1" si="2"/>
        <v>A</v>
      </c>
      <c r="M12" s="1" t="str">
        <f t="shared" ca="1" si="2"/>
        <v>A</v>
      </c>
    </row>
    <row r="13" spans="1:13" x14ac:dyDescent="0.2">
      <c r="A13" s="1">
        <f t="shared" ca="1" si="1"/>
        <v>20</v>
      </c>
      <c r="B13" t="str">
        <f ca="1">VLOOKUP($A13,'Student list'!$A:$C,2,0)</f>
        <v>Jeanene</v>
      </c>
      <c r="C13" t="str">
        <f ca="1">VLOOKUP($A13,'Student list'!$A:$C,3,0)</f>
        <v>Brauer</v>
      </c>
      <c r="D13" s="1" t="str">
        <f t="shared" ca="1" si="2"/>
        <v>A</v>
      </c>
      <c r="E13" s="1" t="str">
        <f t="shared" ca="1" si="2"/>
        <v>A</v>
      </c>
      <c r="F13" s="1" t="str">
        <f t="shared" ca="1" si="2"/>
        <v>A</v>
      </c>
      <c r="G13" s="1" t="str">
        <f t="shared" ca="1" si="2"/>
        <v>A</v>
      </c>
      <c r="H13" s="1" t="str">
        <f t="shared" ca="1" si="2"/>
        <v>A</v>
      </c>
      <c r="I13" s="1" t="str">
        <f t="shared" ca="1" si="2"/>
        <v>A</v>
      </c>
      <c r="J13" s="1" t="str">
        <f t="shared" ca="1" si="2"/>
        <v>A</v>
      </c>
      <c r="K13" s="1" t="str">
        <f t="shared" ca="1" si="2"/>
        <v/>
      </c>
      <c r="L13" s="1" t="str">
        <f t="shared" ca="1" si="2"/>
        <v>A</v>
      </c>
      <c r="M13" s="1" t="str">
        <f t="shared" ca="1" si="2"/>
        <v>A</v>
      </c>
    </row>
    <row r="14" spans="1:13" x14ac:dyDescent="0.2">
      <c r="A14" s="1">
        <f t="shared" ca="1" si="1"/>
        <v>13</v>
      </c>
      <c r="B14" t="str">
        <f ca="1">VLOOKUP($A14,'Student list'!$A:$C,2,0)</f>
        <v>Seema</v>
      </c>
      <c r="C14" t="str">
        <f ca="1">VLOOKUP($A14,'Student list'!$A:$C,3,0)</f>
        <v>Kennerson</v>
      </c>
      <c r="D14" s="1" t="str">
        <f t="shared" ca="1" si="2"/>
        <v>A</v>
      </c>
      <c r="E14" s="1" t="str">
        <f t="shared" ca="1" si="2"/>
        <v>A</v>
      </c>
      <c r="F14" s="1" t="str">
        <f t="shared" ca="1" si="2"/>
        <v>A</v>
      </c>
      <c r="G14" s="1" t="str">
        <f t="shared" ca="1" si="2"/>
        <v>A</v>
      </c>
      <c r="H14" s="1" t="str">
        <f t="shared" ca="1" si="2"/>
        <v>A</v>
      </c>
      <c r="I14" s="1" t="str">
        <f t="shared" ca="1" si="2"/>
        <v>A</v>
      </c>
      <c r="J14" s="1" t="str">
        <f t="shared" ca="1" si="2"/>
        <v>A</v>
      </c>
      <c r="K14" s="1" t="str">
        <f t="shared" ca="1" si="2"/>
        <v>A</v>
      </c>
      <c r="L14" s="1" t="str">
        <f t="shared" ca="1" si="2"/>
        <v>A</v>
      </c>
      <c r="M14" s="1" t="str">
        <f t="shared" ca="1" si="2"/>
        <v>A</v>
      </c>
    </row>
    <row r="15" spans="1:13" x14ac:dyDescent="0.2">
      <c r="A15" s="1">
        <f t="shared" ca="1" si="1"/>
        <v>18</v>
      </c>
      <c r="B15" t="str">
        <f ca="1">VLOOKUP($A15,'Student list'!$A:$C,2,0)</f>
        <v>Hilma</v>
      </c>
      <c r="C15" t="str">
        <f ca="1">VLOOKUP($A15,'Student list'!$A:$C,3,0)</f>
        <v>Marcello</v>
      </c>
      <c r="D15" s="1" t="str">
        <f t="shared" ca="1" si="2"/>
        <v>A</v>
      </c>
      <c r="E15" s="1" t="str">
        <f t="shared" ca="1" si="2"/>
        <v>A</v>
      </c>
      <c r="F15" s="1" t="str">
        <f t="shared" ca="1" si="2"/>
        <v>A</v>
      </c>
      <c r="G15" s="1" t="str">
        <f t="shared" ca="1" si="2"/>
        <v>A</v>
      </c>
      <c r="H15" s="1" t="str">
        <f t="shared" ca="1" si="2"/>
        <v>A</v>
      </c>
      <c r="I15" s="1" t="str">
        <f t="shared" ca="1" si="2"/>
        <v>A</v>
      </c>
      <c r="J15" s="1" t="str">
        <f t="shared" ca="1" si="2"/>
        <v>A</v>
      </c>
      <c r="K15" s="1" t="str">
        <f t="shared" ca="1" si="2"/>
        <v>A</v>
      </c>
      <c r="L15" s="1" t="str">
        <f t="shared" ca="1" si="2"/>
        <v>A</v>
      </c>
      <c r="M15" s="1" t="str">
        <f t="shared" ca="1" si="2"/>
        <v/>
      </c>
    </row>
    <row r="16" spans="1:13" x14ac:dyDescent="0.2">
      <c r="A16" s="1">
        <f t="shared" ca="1" si="1"/>
        <v>10</v>
      </c>
      <c r="B16" t="str">
        <f ca="1">VLOOKUP($A16,'Student list'!$A:$C,2,0)</f>
        <v>Jenni</v>
      </c>
      <c r="C16" t="str">
        <f ca="1">VLOOKUP($A16,'Student list'!$A:$C,3,0)</f>
        <v>Kilmer</v>
      </c>
      <c r="D16" s="1" t="str">
        <f t="shared" ca="1" si="2"/>
        <v>A</v>
      </c>
      <c r="E16" s="1" t="str">
        <f t="shared" ca="1" si="2"/>
        <v/>
      </c>
      <c r="F16" s="1" t="str">
        <f t="shared" ca="1" si="2"/>
        <v>A</v>
      </c>
      <c r="G16" s="1" t="str">
        <f t="shared" ca="1" si="2"/>
        <v>A</v>
      </c>
      <c r="H16" s="1" t="str">
        <f t="shared" ca="1" si="2"/>
        <v>A</v>
      </c>
      <c r="I16" s="1" t="str">
        <f t="shared" ca="1" si="2"/>
        <v>A</v>
      </c>
      <c r="J16" s="1" t="str">
        <f t="shared" ca="1" si="2"/>
        <v/>
      </c>
      <c r="K16" s="1" t="str">
        <f t="shared" ca="1" si="2"/>
        <v>A</v>
      </c>
      <c r="L16" s="1" t="str">
        <f t="shared" ca="1" si="2"/>
        <v>A</v>
      </c>
      <c r="M16" s="1" t="str">
        <f t="shared" ca="1" si="2"/>
        <v>A</v>
      </c>
    </row>
    <row r="17" spans="1:13" x14ac:dyDescent="0.2">
      <c r="A17" s="1">
        <f t="shared" ca="1" si="1"/>
        <v>7</v>
      </c>
      <c r="B17" t="str">
        <f ca="1">VLOOKUP($A17,'Student list'!$A:$C,2,0)</f>
        <v>Lottie</v>
      </c>
      <c r="C17" t="str">
        <f ca="1">VLOOKUP($A17,'Student list'!$A:$C,3,0)</f>
        <v>Jiggetts</v>
      </c>
      <c r="D17" s="1" t="str">
        <f t="shared" ca="1" si="2"/>
        <v>A</v>
      </c>
      <c r="E17" s="1" t="str">
        <f t="shared" ca="1" si="2"/>
        <v/>
      </c>
      <c r="F17" s="1" t="str">
        <f t="shared" ca="1" si="2"/>
        <v>A</v>
      </c>
      <c r="G17" s="1" t="str">
        <f t="shared" ca="1" si="2"/>
        <v>A</v>
      </c>
      <c r="H17" s="1" t="str">
        <f t="shared" ca="1" si="2"/>
        <v>A</v>
      </c>
      <c r="I17" s="1" t="str">
        <f t="shared" ca="1" si="2"/>
        <v/>
      </c>
      <c r="J17" s="1" t="str">
        <f t="shared" ca="1" si="2"/>
        <v>A</v>
      </c>
      <c r="K17" s="1" t="str">
        <f t="shared" ca="1" si="2"/>
        <v>A</v>
      </c>
      <c r="L17" s="1" t="str">
        <f t="shared" ca="1" si="2"/>
        <v>A</v>
      </c>
      <c r="M17" s="1" t="str">
        <f t="shared" ca="1" si="2"/>
        <v>A</v>
      </c>
    </row>
    <row r="18" spans="1:13" x14ac:dyDescent="0.2">
      <c r="A18" s="1">
        <f t="shared" ca="1" si="1"/>
        <v>18</v>
      </c>
      <c r="B18" t="str">
        <f ca="1">VLOOKUP($A18,'Student list'!$A:$C,2,0)</f>
        <v>Hilma</v>
      </c>
      <c r="C18" t="str">
        <f ca="1">VLOOKUP($A18,'Student list'!$A:$C,3,0)</f>
        <v>Marcello</v>
      </c>
      <c r="D18" s="1" t="str">
        <f t="shared" ca="1" si="2"/>
        <v>A</v>
      </c>
      <c r="E18" s="1" t="str">
        <f t="shared" ca="1" si="2"/>
        <v>A</v>
      </c>
      <c r="F18" s="1" t="str">
        <f t="shared" ca="1" si="2"/>
        <v>A</v>
      </c>
      <c r="G18" s="1" t="str">
        <f t="shared" ca="1" si="2"/>
        <v>A</v>
      </c>
      <c r="H18" s="1" t="str">
        <f t="shared" ca="1" si="2"/>
        <v>A</v>
      </c>
      <c r="I18" s="1" t="str">
        <f t="shared" ca="1" si="2"/>
        <v/>
      </c>
      <c r="J18" s="1" t="str">
        <f t="shared" ca="1" si="2"/>
        <v>A</v>
      </c>
      <c r="K18" s="1" t="str">
        <f t="shared" ca="1" si="2"/>
        <v>A</v>
      </c>
      <c r="L18" s="1" t="str">
        <f t="shared" ca="1" si="2"/>
        <v>A</v>
      </c>
      <c r="M18" s="1" t="str">
        <f t="shared" ca="1" si="2"/>
        <v>A</v>
      </c>
    </row>
    <row r="19" spans="1:13" x14ac:dyDescent="0.2">
      <c r="A19" s="1">
        <f t="shared" ca="1" si="1"/>
        <v>7</v>
      </c>
      <c r="B19" t="str">
        <f ca="1">VLOOKUP($A19,'Student list'!$A:$C,2,0)</f>
        <v>Lottie</v>
      </c>
      <c r="C19" t="str">
        <f ca="1">VLOOKUP($A19,'Student list'!$A:$C,3,0)</f>
        <v>Jiggetts</v>
      </c>
      <c r="D19" s="1" t="str">
        <f t="shared" ca="1" si="2"/>
        <v>A</v>
      </c>
      <c r="E19" s="1" t="str">
        <f t="shared" ca="1" si="2"/>
        <v>A</v>
      </c>
      <c r="F19" s="1" t="str">
        <f t="shared" ca="1" si="2"/>
        <v/>
      </c>
      <c r="G19" s="1" t="str">
        <f t="shared" ca="1" si="2"/>
        <v>A</v>
      </c>
      <c r="H19" s="1" t="str">
        <f t="shared" ca="1" si="2"/>
        <v>A</v>
      </c>
      <c r="I19" s="1" t="str">
        <f t="shared" ca="1" si="2"/>
        <v>A</v>
      </c>
      <c r="J19" s="1" t="str">
        <f t="shared" ca="1" si="2"/>
        <v>A</v>
      </c>
      <c r="K19" s="1" t="str">
        <f t="shared" ca="1" si="2"/>
        <v>A</v>
      </c>
      <c r="L19" s="1" t="str">
        <f t="shared" ca="1" si="2"/>
        <v>A</v>
      </c>
      <c r="M19" s="1" t="str">
        <f t="shared" ca="1" si="2"/>
        <v>A</v>
      </c>
    </row>
    <row r="20" spans="1:13" x14ac:dyDescent="0.2">
      <c r="A20" s="1">
        <f t="shared" ca="1" si="1"/>
        <v>16</v>
      </c>
      <c r="B20" t="str">
        <f ca="1">VLOOKUP($A20,'Student list'!$A:$C,2,0)</f>
        <v>Arianne</v>
      </c>
      <c r="C20" t="str">
        <f ca="1">VLOOKUP($A20,'Student list'!$A:$C,3,0)</f>
        <v>Mcgarity</v>
      </c>
      <c r="D20" s="1" t="str">
        <f t="shared" ca="1" si="2"/>
        <v/>
      </c>
      <c r="E20" s="1" t="str">
        <f t="shared" ca="1" si="2"/>
        <v>A</v>
      </c>
      <c r="F20" s="1" t="str">
        <f t="shared" ca="1" si="2"/>
        <v/>
      </c>
      <c r="G20" s="1" t="str">
        <f t="shared" ca="1" si="2"/>
        <v>A</v>
      </c>
      <c r="H20" s="1" t="str">
        <f t="shared" ca="1" si="2"/>
        <v>A</v>
      </c>
      <c r="I20" s="1" t="str">
        <f t="shared" ca="1" si="2"/>
        <v/>
      </c>
      <c r="J20" s="1" t="str">
        <f t="shared" ca="1" si="2"/>
        <v>A</v>
      </c>
      <c r="K20" s="1" t="str">
        <f t="shared" ca="1" si="2"/>
        <v>A</v>
      </c>
      <c r="L20" s="1" t="str">
        <f t="shared" ca="1" si="2"/>
        <v>A</v>
      </c>
      <c r="M20" s="1" t="str">
        <f t="shared" ca="1" si="2"/>
        <v>A</v>
      </c>
    </row>
    <row r="21" spans="1:13" x14ac:dyDescent="0.2">
      <c r="A21" s="1">
        <f t="shared" ca="1" si="1"/>
        <v>3</v>
      </c>
      <c r="B21" t="str">
        <f ca="1">VLOOKUP($A21,'Student list'!$A:$C,2,0)</f>
        <v>Elena</v>
      </c>
      <c r="C21" t="str">
        <f ca="1">VLOOKUP($A21,'Student list'!$A:$C,3,0)</f>
        <v>Dickerson</v>
      </c>
      <c r="D21" s="1" t="str">
        <f t="shared" ca="1" si="2"/>
        <v>A</v>
      </c>
      <c r="E21" s="1" t="str">
        <f t="shared" ca="1" si="2"/>
        <v>A</v>
      </c>
      <c r="F21" s="1" t="str">
        <f t="shared" ca="1" si="2"/>
        <v>A</v>
      </c>
      <c r="G21" s="1" t="str">
        <f t="shared" ca="1" si="2"/>
        <v>A</v>
      </c>
      <c r="H21" s="1" t="str">
        <f t="shared" ca="1" si="2"/>
        <v>A</v>
      </c>
      <c r="I21" s="1" t="str">
        <f t="shared" ca="1" si="2"/>
        <v>A</v>
      </c>
      <c r="J21" s="1" t="str">
        <f t="shared" ca="1" si="2"/>
        <v>A</v>
      </c>
      <c r="K21" s="1" t="str">
        <f t="shared" ca="1" si="2"/>
        <v/>
      </c>
      <c r="L21" s="1" t="str">
        <f t="shared" ca="1" si="2"/>
        <v>A</v>
      </c>
      <c r="M21" s="1" t="str">
        <f t="shared" ca="1" si="2"/>
        <v>A</v>
      </c>
    </row>
    <row r="22" spans="1:13" x14ac:dyDescent="0.2">
      <c r="A22" s="1">
        <f t="shared" ca="1" si="1"/>
        <v>13</v>
      </c>
      <c r="B22" t="str">
        <f ca="1">VLOOKUP($A22,'Student list'!$A:$C,2,0)</f>
        <v>Seema</v>
      </c>
      <c r="C22" t="str">
        <f ca="1">VLOOKUP($A22,'Student list'!$A:$C,3,0)</f>
        <v>Kennerson</v>
      </c>
      <c r="D22" s="1" t="str">
        <f t="shared" ca="1" si="2"/>
        <v>A</v>
      </c>
      <c r="E22" s="1" t="str">
        <f t="shared" ca="1" si="2"/>
        <v>A</v>
      </c>
      <c r="F22" s="1" t="str">
        <f t="shared" ca="1" si="2"/>
        <v>A</v>
      </c>
      <c r="G22" s="1" t="str">
        <f t="shared" ca="1" si="2"/>
        <v/>
      </c>
      <c r="H22" s="1" t="str">
        <f t="shared" ca="1" si="2"/>
        <v/>
      </c>
      <c r="I22" s="1" t="str">
        <f t="shared" ca="1" si="2"/>
        <v>A</v>
      </c>
      <c r="J22" s="1" t="str">
        <f t="shared" ca="1" si="2"/>
        <v>A</v>
      </c>
      <c r="K22" s="1" t="str">
        <f t="shared" ca="1" si="2"/>
        <v>A</v>
      </c>
      <c r="L22" s="1" t="str">
        <f t="shared" ca="1" si="2"/>
        <v>A</v>
      </c>
      <c r="M22" s="1" t="str">
        <f t="shared" ca="1" si="2"/>
        <v>A</v>
      </c>
    </row>
    <row r="23" spans="1:13" x14ac:dyDescent="0.2">
      <c r="A23" s="1">
        <f t="shared" ca="1" si="1"/>
        <v>12</v>
      </c>
      <c r="B23" t="str">
        <f ca="1">VLOOKUP($A23,'Student list'!$A:$C,2,0)</f>
        <v>Fleta</v>
      </c>
      <c r="C23" t="str">
        <f ca="1">VLOOKUP($A23,'Student list'!$A:$C,3,0)</f>
        <v>Desmond</v>
      </c>
      <c r="D23" s="1" t="str">
        <f t="shared" ca="1" si="2"/>
        <v>A</v>
      </c>
      <c r="E23" s="1" t="str">
        <f t="shared" ca="1" si="2"/>
        <v>A</v>
      </c>
      <c r="F23" s="1" t="str">
        <f t="shared" ca="1" si="2"/>
        <v>A</v>
      </c>
      <c r="G23" s="1" t="str">
        <f t="shared" ca="1" si="2"/>
        <v>A</v>
      </c>
      <c r="H23" s="1" t="str">
        <f t="shared" ca="1" si="2"/>
        <v>A</v>
      </c>
      <c r="I23" s="1" t="str">
        <f t="shared" ca="1" si="2"/>
        <v>A</v>
      </c>
      <c r="J23" s="1" t="str">
        <f t="shared" ca="1" si="2"/>
        <v>A</v>
      </c>
      <c r="K23" s="1" t="str">
        <f t="shared" ca="1" si="2"/>
        <v>A</v>
      </c>
      <c r="L23" s="1" t="str">
        <f t="shared" ca="1" si="2"/>
        <v>A</v>
      </c>
      <c r="M23" s="1" t="str">
        <f t="shared" ca="1" si="2"/>
        <v>A</v>
      </c>
    </row>
    <row r="24" spans="1:13" x14ac:dyDescent="0.2">
      <c r="A24" s="1">
        <f t="shared" ca="1" si="1"/>
        <v>4</v>
      </c>
      <c r="B24" t="str">
        <f ca="1">VLOOKUP($A24,'Student list'!$A:$C,2,0)</f>
        <v>Neomi</v>
      </c>
      <c r="C24" t="str">
        <f ca="1">VLOOKUP($A24,'Student list'!$A:$C,3,0)</f>
        <v>Overstreet</v>
      </c>
      <c r="D24" s="1" t="str">
        <f t="shared" ca="1" si="2"/>
        <v>A</v>
      </c>
      <c r="E24" s="1" t="str">
        <f t="shared" ca="1" si="2"/>
        <v>A</v>
      </c>
      <c r="F24" s="1" t="str">
        <f t="shared" ca="1" si="2"/>
        <v>A</v>
      </c>
      <c r="G24" s="1" t="str">
        <f t="shared" ca="1" si="2"/>
        <v>A</v>
      </c>
      <c r="H24" s="1" t="str">
        <f t="shared" ca="1" si="2"/>
        <v/>
      </c>
      <c r="I24" s="1" t="str">
        <f t="shared" ca="1" si="2"/>
        <v>A</v>
      </c>
      <c r="J24" s="1" t="str">
        <f t="shared" ca="1" si="2"/>
        <v/>
      </c>
      <c r="K24" s="1" t="str">
        <f t="shared" ca="1" si="2"/>
        <v>A</v>
      </c>
      <c r="L24" s="1" t="str">
        <f t="shared" ca="1" si="2"/>
        <v>A</v>
      </c>
      <c r="M24" s="1" t="str">
        <f t="shared" ca="1" si="2"/>
        <v>A</v>
      </c>
    </row>
    <row r="25" spans="1:13" x14ac:dyDescent="0.2">
      <c r="A25" s="1">
        <f t="shared" ca="1" si="1"/>
        <v>1</v>
      </c>
      <c r="B25" t="str">
        <f ca="1">VLOOKUP($A25,'Student list'!$A:$C,2,0)</f>
        <v>Manda</v>
      </c>
      <c r="C25" t="str">
        <f ca="1">VLOOKUP($A25,'Student list'!$A:$C,3,0)</f>
        <v>Otero</v>
      </c>
      <c r="D25" s="1" t="str">
        <f t="shared" ca="1" si="2"/>
        <v>A</v>
      </c>
      <c r="E25" s="1" t="str">
        <f t="shared" ca="1" si="2"/>
        <v>A</v>
      </c>
      <c r="F25" s="1" t="str">
        <f t="shared" ca="1" si="2"/>
        <v>A</v>
      </c>
      <c r="G25" s="1" t="str">
        <f t="shared" ca="1" si="2"/>
        <v>A</v>
      </c>
      <c r="H25" s="1" t="str">
        <f t="shared" ca="1" si="2"/>
        <v>A</v>
      </c>
      <c r="I25" s="1" t="str">
        <f t="shared" ca="1" si="2"/>
        <v>A</v>
      </c>
      <c r="J25" s="1" t="str">
        <f t="shared" ca="1" si="2"/>
        <v>A</v>
      </c>
      <c r="K25" s="1" t="str">
        <f t="shared" ca="1" si="2"/>
        <v>A</v>
      </c>
      <c r="L25" s="1" t="str">
        <f t="shared" ca="1" si="2"/>
        <v>A</v>
      </c>
      <c r="M25" s="1" t="str">
        <f t="shared" ca="1" si="2"/>
        <v>A</v>
      </c>
    </row>
    <row r="26" spans="1:13" x14ac:dyDescent="0.2">
      <c r="A26" s="1">
        <f t="shared" ca="1" si="1"/>
        <v>11</v>
      </c>
      <c r="B26" t="str">
        <f ca="1">VLOOKUP($A26,'Student list'!$A:$C,2,0)</f>
        <v>Tomika</v>
      </c>
      <c r="C26" t="str">
        <f ca="1">VLOOKUP($A26,'Student list'!$A:$C,3,0)</f>
        <v>Villa</v>
      </c>
      <c r="D26" s="1" t="str">
        <f t="shared" ca="1" si="2"/>
        <v>A</v>
      </c>
      <c r="E26" s="1" t="str">
        <f t="shared" ca="1" si="2"/>
        <v>A</v>
      </c>
      <c r="F26" s="1" t="str">
        <f t="shared" ca="1" si="2"/>
        <v>A</v>
      </c>
      <c r="G26" s="1" t="str">
        <f t="shared" ca="1" si="2"/>
        <v>A</v>
      </c>
      <c r="H26" s="1" t="str">
        <f t="shared" ca="1" si="2"/>
        <v>A</v>
      </c>
      <c r="I26" s="1" t="str">
        <f t="shared" ca="1" si="2"/>
        <v>A</v>
      </c>
      <c r="J26" s="1" t="str">
        <f t="shared" ca="1" si="2"/>
        <v>A</v>
      </c>
      <c r="K26" s="1" t="str">
        <f t="shared" ca="1" si="2"/>
        <v>A</v>
      </c>
      <c r="L26" s="1" t="str">
        <f t="shared" ca="1" si="2"/>
        <v>A</v>
      </c>
      <c r="M26" s="1" t="str">
        <f t="shared" ca="1" si="2"/>
        <v/>
      </c>
    </row>
    <row r="27" spans="1:13" x14ac:dyDescent="0.2">
      <c r="A27" s="1">
        <f t="shared" ca="1" si="1"/>
        <v>12</v>
      </c>
      <c r="B27" t="str">
        <f ca="1">VLOOKUP($A27,'Student list'!$A:$C,2,0)</f>
        <v>Fleta</v>
      </c>
      <c r="C27" t="str">
        <f ca="1">VLOOKUP($A27,'Student list'!$A:$C,3,0)</f>
        <v>Desmond</v>
      </c>
      <c r="D27" s="1" t="str">
        <f t="shared" ca="1" si="2"/>
        <v/>
      </c>
      <c r="E27" s="1" t="str">
        <f t="shared" ca="1" si="2"/>
        <v>A</v>
      </c>
      <c r="F27" s="1" t="str">
        <f t="shared" ca="1" si="2"/>
        <v>A</v>
      </c>
      <c r="G27" s="1" t="str">
        <f t="shared" ca="1" si="2"/>
        <v>A</v>
      </c>
      <c r="H27" s="1" t="str">
        <f t="shared" ca="1" si="2"/>
        <v>A</v>
      </c>
      <c r="I27" s="1" t="str">
        <f t="shared" ca="1" si="2"/>
        <v>A</v>
      </c>
      <c r="J27" s="1" t="str">
        <f t="shared" ca="1" si="2"/>
        <v>A</v>
      </c>
      <c r="K27" s="1" t="str">
        <f t="shared" ca="1" si="2"/>
        <v>A</v>
      </c>
      <c r="L27" s="1" t="str">
        <f t="shared" ca="1" si="2"/>
        <v>A</v>
      </c>
      <c r="M27" s="1" t="str">
        <f t="shared" ca="1" si="2"/>
        <v>A</v>
      </c>
    </row>
    <row r="28" spans="1:13" x14ac:dyDescent="0.2">
      <c r="A28" s="1">
        <f t="shared" ca="1" si="1"/>
        <v>7</v>
      </c>
      <c r="B28" t="str">
        <f ca="1">VLOOKUP($A28,'Student list'!$A:$C,2,0)</f>
        <v>Lottie</v>
      </c>
      <c r="C28" t="str">
        <f ca="1">VLOOKUP($A28,'Student list'!$A:$C,3,0)</f>
        <v>Jiggetts</v>
      </c>
      <c r="D28" s="1" t="str">
        <f t="shared" ca="1" si="2"/>
        <v>A</v>
      </c>
      <c r="E28" s="1" t="str">
        <f t="shared" ca="1" si="2"/>
        <v>A</v>
      </c>
      <c r="F28" s="1" t="str">
        <f t="shared" ref="E28:M43" ca="1" si="3">IF(RANDBETWEEN(0,10)&lt;&gt;0,"A","")</f>
        <v>A</v>
      </c>
      <c r="G28" s="1" t="str">
        <f t="shared" ca="1" si="3"/>
        <v>A</v>
      </c>
      <c r="H28" s="1" t="str">
        <f t="shared" ca="1" si="3"/>
        <v>A</v>
      </c>
      <c r="I28" s="1" t="str">
        <f t="shared" ca="1" si="3"/>
        <v>A</v>
      </c>
      <c r="J28" s="1" t="str">
        <f t="shared" ca="1" si="3"/>
        <v>A</v>
      </c>
      <c r="K28" s="1" t="str">
        <f t="shared" ca="1" si="3"/>
        <v>A</v>
      </c>
      <c r="L28" s="1" t="str">
        <f t="shared" ca="1" si="3"/>
        <v>A</v>
      </c>
      <c r="M28" s="1" t="str">
        <f t="shared" ca="1" si="3"/>
        <v>A</v>
      </c>
    </row>
    <row r="29" spans="1:13" x14ac:dyDescent="0.2">
      <c r="A29" s="1">
        <f t="shared" ca="1" si="1"/>
        <v>12</v>
      </c>
      <c r="B29" t="str">
        <f ca="1">VLOOKUP($A29,'Student list'!$A:$C,2,0)</f>
        <v>Fleta</v>
      </c>
      <c r="C29" t="str">
        <f ca="1">VLOOKUP($A29,'Student list'!$A:$C,3,0)</f>
        <v>Desmond</v>
      </c>
      <c r="D29" s="1" t="str">
        <f t="shared" ca="1" si="2"/>
        <v>A</v>
      </c>
      <c r="E29" s="1" t="str">
        <f t="shared" ca="1" si="3"/>
        <v>A</v>
      </c>
      <c r="F29" s="1" t="str">
        <f t="shared" ca="1" si="3"/>
        <v>A</v>
      </c>
      <c r="G29" s="1" t="str">
        <f t="shared" ca="1" si="3"/>
        <v>A</v>
      </c>
      <c r="H29" s="1" t="str">
        <f t="shared" ca="1" si="3"/>
        <v>A</v>
      </c>
      <c r="I29" s="1" t="str">
        <f t="shared" ca="1" si="3"/>
        <v>A</v>
      </c>
      <c r="J29" s="1" t="str">
        <f t="shared" ca="1" si="3"/>
        <v>A</v>
      </c>
      <c r="K29" s="1" t="str">
        <f t="shared" ca="1" si="3"/>
        <v>A</v>
      </c>
      <c r="L29" s="1" t="str">
        <f t="shared" ca="1" si="3"/>
        <v>A</v>
      </c>
      <c r="M29" s="1" t="str">
        <f t="shared" ca="1" si="3"/>
        <v>A</v>
      </c>
    </row>
    <row r="30" spans="1:13" x14ac:dyDescent="0.2">
      <c r="A30" s="1">
        <f t="shared" ca="1" si="1"/>
        <v>13</v>
      </c>
      <c r="B30" t="str">
        <f ca="1">VLOOKUP($A30,'Student list'!$A:$C,2,0)</f>
        <v>Seema</v>
      </c>
      <c r="C30" t="str">
        <f ca="1">VLOOKUP($A30,'Student list'!$A:$C,3,0)</f>
        <v>Kennerson</v>
      </c>
      <c r="D30" s="1" t="str">
        <f t="shared" ca="1" si="2"/>
        <v>A</v>
      </c>
      <c r="E30" s="1" t="str">
        <f t="shared" ca="1" si="3"/>
        <v>A</v>
      </c>
      <c r="F30" s="1" t="str">
        <f t="shared" ca="1" si="3"/>
        <v>A</v>
      </c>
      <c r="G30" s="1" t="str">
        <f t="shared" ca="1" si="3"/>
        <v>A</v>
      </c>
      <c r="H30" s="1" t="str">
        <f t="shared" ca="1" si="3"/>
        <v>A</v>
      </c>
      <c r="I30" s="1" t="str">
        <f t="shared" ca="1" si="3"/>
        <v/>
      </c>
      <c r="J30" s="1" t="str">
        <f t="shared" ca="1" si="3"/>
        <v>A</v>
      </c>
      <c r="K30" s="1" t="str">
        <f t="shared" ca="1" si="3"/>
        <v>A</v>
      </c>
      <c r="L30" s="1" t="str">
        <f t="shared" ca="1" si="3"/>
        <v>A</v>
      </c>
      <c r="M30" s="1" t="str">
        <f t="shared" ca="1" si="3"/>
        <v>A</v>
      </c>
    </row>
    <row r="31" spans="1:13" x14ac:dyDescent="0.2">
      <c r="A31" s="1">
        <f t="shared" ca="1" si="1"/>
        <v>19</v>
      </c>
      <c r="B31" t="str">
        <f ca="1">VLOOKUP($A31,'Student list'!$A:$C,2,0)</f>
        <v>Fernande</v>
      </c>
      <c r="C31" t="str">
        <f ca="1">VLOOKUP($A31,'Student list'!$A:$C,3,0)</f>
        <v>Rast</v>
      </c>
      <c r="D31" s="1" t="str">
        <f t="shared" ca="1" si="2"/>
        <v>A</v>
      </c>
      <c r="E31" s="1" t="str">
        <f t="shared" ca="1" si="3"/>
        <v>A</v>
      </c>
      <c r="F31" s="1" t="str">
        <f t="shared" ca="1" si="3"/>
        <v>A</v>
      </c>
      <c r="G31" s="1" t="str">
        <f t="shared" ca="1" si="3"/>
        <v/>
      </c>
      <c r="H31" s="1" t="str">
        <f t="shared" ca="1" si="3"/>
        <v>A</v>
      </c>
      <c r="I31" s="1" t="str">
        <f t="shared" ca="1" si="3"/>
        <v>A</v>
      </c>
      <c r="J31" s="1" t="str">
        <f t="shared" ca="1" si="3"/>
        <v>A</v>
      </c>
      <c r="K31" s="1" t="str">
        <f t="shared" ca="1" si="3"/>
        <v>A</v>
      </c>
      <c r="L31" s="1" t="str">
        <f t="shared" ca="1" si="3"/>
        <v>A</v>
      </c>
      <c r="M31" s="1" t="str">
        <f t="shared" ca="1" si="3"/>
        <v>A</v>
      </c>
    </row>
    <row r="32" spans="1:13" x14ac:dyDescent="0.2">
      <c r="A32" s="1">
        <f t="shared" ca="1" si="1"/>
        <v>4</v>
      </c>
      <c r="B32" t="str">
        <f ca="1">VLOOKUP($A32,'Student list'!$A:$C,2,0)</f>
        <v>Neomi</v>
      </c>
      <c r="C32" t="str">
        <f ca="1">VLOOKUP($A32,'Student list'!$A:$C,3,0)</f>
        <v>Overstreet</v>
      </c>
      <c r="D32" s="1" t="str">
        <f t="shared" ref="D32:M50" ca="1" si="4">IF(RANDBETWEEN(0,10)&lt;&gt;0,"A","")</f>
        <v>A</v>
      </c>
      <c r="E32" s="1" t="str">
        <f t="shared" ca="1" si="4"/>
        <v>A</v>
      </c>
      <c r="F32" s="1" t="str">
        <f t="shared" ca="1" si="3"/>
        <v>A</v>
      </c>
      <c r="G32" s="1" t="str">
        <f t="shared" ca="1" si="3"/>
        <v>A</v>
      </c>
      <c r="H32" s="1" t="str">
        <f t="shared" ca="1" si="3"/>
        <v>A</v>
      </c>
      <c r="I32" s="1" t="str">
        <f t="shared" ca="1" si="3"/>
        <v>A</v>
      </c>
      <c r="J32" s="1" t="str">
        <f t="shared" ca="1" si="3"/>
        <v>A</v>
      </c>
      <c r="K32" s="1" t="str">
        <f t="shared" ca="1" si="3"/>
        <v/>
      </c>
      <c r="L32" s="1" t="str">
        <f t="shared" ca="1" si="3"/>
        <v>A</v>
      </c>
      <c r="M32" s="1" t="str">
        <f t="shared" ca="1" si="3"/>
        <v>A</v>
      </c>
    </row>
    <row r="33" spans="1:13" x14ac:dyDescent="0.2">
      <c r="A33" s="1">
        <f t="shared" ca="1" si="1"/>
        <v>9</v>
      </c>
      <c r="B33" t="str">
        <f ca="1">VLOOKUP($A33,'Student list'!$A:$C,2,0)</f>
        <v>Clement</v>
      </c>
      <c r="C33" t="str">
        <f ca="1">VLOOKUP($A33,'Student list'!$A:$C,3,0)</f>
        <v>Burner</v>
      </c>
      <c r="D33" s="1" t="str">
        <f t="shared" ca="1" si="4"/>
        <v>A</v>
      </c>
      <c r="E33" s="1" t="str">
        <f t="shared" ca="1" si="3"/>
        <v>A</v>
      </c>
      <c r="F33" s="1" t="str">
        <f t="shared" ca="1" si="3"/>
        <v>A</v>
      </c>
      <c r="G33" s="1" t="str">
        <f t="shared" ca="1" si="3"/>
        <v>A</v>
      </c>
      <c r="H33" s="1" t="str">
        <f t="shared" ca="1" si="3"/>
        <v>A</v>
      </c>
      <c r="I33" s="1" t="str">
        <f t="shared" ca="1" si="3"/>
        <v/>
      </c>
      <c r="J33" s="1" t="str">
        <f t="shared" ca="1" si="3"/>
        <v>A</v>
      </c>
      <c r="K33" s="1" t="str">
        <f t="shared" ca="1" si="3"/>
        <v>A</v>
      </c>
      <c r="L33" s="1" t="str">
        <f t="shared" ca="1" si="3"/>
        <v>A</v>
      </c>
      <c r="M33" s="1" t="str">
        <f t="shared" ca="1" si="3"/>
        <v>A</v>
      </c>
    </row>
    <row r="34" spans="1:13" x14ac:dyDescent="0.2">
      <c r="A34" s="1">
        <f t="shared" ca="1" si="1"/>
        <v>6</v>
      </c>
      <c r="B34" t="str">
        <f ca="1">VLOOKUP($A34,'Student list'!$A:$C,2,0)</f>
        <v>Zonia</v>
      </c>
      <c r="C34" t="str">
        <f ca="1">VLOOKUP($A34,'Student list'!$A:$C,3,0)</f>
        <v>Bourbeau</v>
      </c>
      <c r="D34" s="1" t="str">
        <f t="shared" ca="1" si="4"/>
        <v>A</v>
      </c>
      <c r="E34" s="1" t="str">
        <f t="shared" ca="1" si="3"/>
        <v>A</v>
      </c>
      <c r="F34" s="1" t="str">
        <f t="shared" ca="1" si="3"/>
        <v/>
      </c>
      <c r="G34" s="1" t="str">
        <f t="shared" ca="1" si="3"/>
        <v>A</v>
      </c>
      <c r="H34" s="1" t="str">
        <f t="shared" ca="1" si="3"/>
        <v>A</v>
      </c>
      <c r="I34" s="1" t="str">
        <f t="shared" ca="1" si="3"/>
        <v>A</v>
      </c>
      <c r="J34" s="1" t="str">
        <f t="shared" ca="1" si="3"/>
        <v>A</v>
      </c>
      <c r="K34" s="1" t="str">
        <f t="shared" ca="1" si="3"/>
        <v>A</v>
      </c>
      <c r="L34" s="1" t="str">
        <f t="shared" ca="1" si="3"/>
        <v/>
      </c>
      <c r="M34" s="1" t="str">
        <f t="shared" ca="1" si="3"/>
        <v>A</v>
      </c>
    </row>
    <row r="35" spans="1:13" x14ac:dyDescent="0.2">
      <c r="A35" s="1">
        <f t="shared" ca="1" si="1"/>
        <v>14</v>
      </c>
      <c r="B35" t="str">
        <f ca="1">VLOOKUP($A35,'Student list'!$A:$C,2,0)</f>
        <v>Sheilah</v>
      </c>
      <c r="C35" t="str">
        <f ca="1">VLOOKUP($A35,'Student list'!$A:$C,3,0)</f>
        <v>Wright</v>
      </c>
      <c r="D35" s="1" t="str">
        <f t="shared" ca="1" si="4"/>
        <v>A</v>
      </c>
      <c r="E35" s="1" t="str">
        <f t="shared" ca="1" si="3"/>
        <v>A</v>
      </c>
      <c r="F35" s="1" t="str">
        <f t="shared" ca="1" si="3"/>
        <v>A</v>
      </c>
      <c r="G35" s="1" t="str">
        <f t="shared" ca="1" si="3"/>
        <v>A</v>
      </c>
      <c r="H35" s="1" t="str">
        <f t="shared" ca="1" si="3"/>
        <v>A</v>
      </c>
      <c r="I35" s="1" t="str">
        <f t="shared" ca="1" si="3"/>
        <v>A</v>
      </c>
      <c r="J35" s="1" t="str">
        <f t="shared" ca="1" si="3"/>
        <v>A</v>
      </c>
      <c r="K35" s="1" t="str">
        <f t="shared" ca="1" si="3"/>
        <v>A</v>
      </c>
      <c r="L35" s="1" t="str">
        <f t="shared" ca="1" si="3"/>
        <v>A</v>
      </c>
      <c r="M35" s="1" t="str">
        <f t="shared" ca="1" si="3"/>
        <v/>
      </c>
    </row>
    <row r="36" spans="1:13" x14ac:dyDescent="0.2">
      <c r="A36" s="1">
        <f t="shared" ca="1" si="1"/>
        <v>5</v>
      </c>
      <c r="B36" t="str">
        <f ca="1">VLOOKUP($A36,'Student list'!$A:$C,2,0)</f>
        <v>Santo</v>
      </c>
      <c r="C36" t="str">
        <f ca="1">VLOOKUP($A36,'Student list'!$A:$C,3,0)</f>
        <v>Menz</v>
      </c>
      <c r="D36" s="1" t="str">
        <f t="shared" ca="1" si="4"/>
        <v>A</v>
      </c>
      <c r="E36" s="1" t="str">
        <f t="shared" ca="1" si="4"/>
        <v>A</v>
      </c>
      <c r="F36" s="1" t="str">
        <f t="shared" ca="1" si="3"/>
        <v>A</v>
      </c>
      <c r="G36" s="1" t="str">
        <f t="shared" ca="1" si="3"/>
        <v>A</v>
      </c>
      <c r="H36" s="1" t="str">
        <f t="shared" ca="1" si="3"/>
        <v>A</v>
      </c>
      <c r="I36" s="1" t="str">
        <f t="shared" ca="1" si="3"/>
        <v>A</v>
      </c>
      <c r="J36" s="1" t="str">
        <f t="shared" ca="1" si="3"/>
        <v>A</v>
      </c>
      <c r="K36" s="1" t="str">
        <f t="shared" ca="1" si="3"/>
        <v>A</v>
      </c>
      <c r="L36" s="1" t="str">
        <f t="shared" ca="1" si="3"/>
        <v>A</v>
      </c>
      <c r="M36" s="1" t="str">
        <f t="shared" ca="1" si="3"/>
        <v>A</v>
      </c>
    </row>
    <row r="37" spans="1:13" x14ac:dyDescent="0.2">
      <c r="A37" s="1">
        <f t="shared" ca="1" si="1"/>
        <v>15</v>
      </c>
      <c r="B37" t="str">
        <f ca="1">VLOOKUP($A37,'Student list'!$A:$C,2,0)</f>
        <v>Francesca</v>
      </c>
      <c r="C37" t="str">
        <f ca="1">VLOOKUP($A37,'Student list'!$A:$C,3,0)</f>
        <v>Platner</v>
      </c>
      <c r="D37" s="1" t="str">
        <f t="shared" ca="1" si="4"/>
        <v>A</v>
      </c>
      <c r="E37" s="1" t="str">
        <f t="shared" ca="1" si="3"/>
        <v>A</v>
      </c>
      <c r="F37" s="1" t="str">
        <f t="shared" ca="1" si="3"/>
        <v>A</v>
      </c>
      <c r="G37" s="1" t="str">
        <f t="shared" ca="1" si="3"/>
        <v>A</v>
      </c>
      <c r="H37" s="1" t="str">
        <f t="shared" ca="1" si="3"/>
        <v>A</v>
      </c>
      <c r="I37" s="1" t="str">
        <f t="shared" ca="1" si="3"/>
        <v>A</v>
      </c>
      <c r="J37" s="1" t="str">
        <f t="shared" ca="1" si="3"/>
        <v>A</v>
      </c>
      <c r="K37" s="1" t="str">
        <f t="shared" ca="1" si="3"/>
        <v>A</v>
      </c>
      <c r="L37" s="1" t="str">
        <f t="shared" ca="1" si="3"/>
        <v>A</v>
      </c>
      <c r="M37" s="1" t="str">
        <f t="shared" ca="1" si="3"/>
        <v>A</v>
      </c>
    </row>
    <row r="38" spans="1:13" x14ac:dyDescent="0.2">
      <c r="A38" s="1">
        <f t="shared" ca="1" si="1"/>
        <v>12</v>
      </c>
      <c r="B38" t="str">
        <f ca="1">VLOOKUP($A38,'Student list'!$A:$C,2,0)</f>
        <v>Fleta</v>
      </c>
      <c r="C38" t="str">
        <f ca="1">VLOOKUP($A38,'Student list'!$A:$C,3,0)</f>
        <v>Desmond</v>
      </c>
      <c r="D38" s="1" t="str">
        <f t="shared" ca="1" si="4"/>
        <v>A</v>
      </c>
      <c r="E38" s="1" t="str">
        <f t="shared" ca="1" si="3"/>
        <v>A</v>
      </c>
      <c r="F38" s="1" t="str">
        <f t="shared" ca="1" si="3"/>
        <v>A</v>
      </c>
      <c r="G38" s="1" t="str">
        <f t="shared" ca="1" si="3"/>
        <v>A</v>
      </c>
      <c r="H38" s="1" t="str">
        <f t="shared" ca="1" si="3"/>
        <v>A</v>
      </c>
      <c r="I38" s="1" t="str">
        <f t="shared" ca="1" si="3"/>
        <v>A</v>
      </c>
      <c r="J38" s="1" t="str">
        <f t="shared" ca="1" si="3"/>
        <v>A</v>
      </c>
      <c r="K38" s="1" t="str">
        <f t="shared" ca="1" si="3"/>
        <v/>
      </c>
      <c r="L38" s="1" t="str">
        <f t="shared" ca="1" si="3"/>
        <v>A</v>
      </c>
      <c r="M38" s="1" t="str">
        <f t="shared" ca="1" si="3"/>
        <v>A</v>
      </c>
    </row>
    <row r="39" spans="1:13" x14ac:dyDescent="0.2">
      <c r="A39" s="1">
        <f t="shared" ca="1" si="1"/>
        <v>8</v>
      </c>
      <c r="B39" t="str">
        <f ca="1">VLOOKUP($A39,'Student list'!$A:$C,2,0)</f>
        <v>Christian</v>
      </c>
      <c r="C39" t="str">
        <f ca="1">VLOOKUP($A39,'Student list'!$A:$C,3,0)</f>
        <v>Quill</v>
      </c>
      <c r="D39" s="1" t="str">
        <f t="shared" ca="1" si="4"/>
        <v>A</v>
      </c>
      <c r="E39" s="1" t="str">
        <f t="shared" ca="1" si="3"/>
        <v>A</v>
      </c>
      <c r="F39" s="1" t="str">
        <f t="shared" ca="1" si="3"/>
        <v>A</v>
      </c>
      <c r="G39" s="1" t="str">
        <f t="shared" ca="1" si="3"/>
        <v>A</v>
      </c>
      <c r="H39" s="1" t="str">
        <f t="shared" ca="1" si="3"/>
        <v>A</v>
      </c>
      <c r="I39" s="1" t="str">
        <f t="shared" ca="1" si="3"/>
        <v>A</v>
      </c>
      <c r="J39" s="1" t="str">
        <f t="shared" ca="1" si="3"/>
        <v>A</v>
      </c>
      <c r="K39" s="1" t="str">
        <f t="shared" ca="1" si="3"/>
        <v>A</v>
      </c>
      <c r="L39" s="1" t="str">
        <f t="shared" ca="1" si="3"/>
        <v>A</v>
      </c>
      <c r="M39" s="1" t="str">
        <f t="shared" ca="1" si="3"/>
        <v>A</v>
      </c>
    </row>
    <row r="40" spans="1:13" x14ac:dyDescent="0.2">
      <c r="A40" s="1">
        <f t="shared" ca="1" si="1"/>
        <v>19</v>
      </c>
      <c r="B40" t="str">
        <f ca="1">VLOOKUP($A40,'Student list'!$A:$C,2,0)</f>
        <v>Fernande</v>
      </c>
      <c r="C40" t="str">
        <f ca="1">VLOOKUP($A40,'Student list'!$A:$C,3,0)</f>
        <v>Rast</v>
      </c>
      <c r="D40" s="1" t="str">
        <f t="shared" ca="1" si="4"/>
        <v>A</v>
      </c>
      <c r="E40" s="1" t="str">
        <f t="shared" ca="1" si="4"/>
        <v>A</v>
      </c>
      <c r="F40" s="1" t="str">
        <f t="shared" ca="1" si="3"/>
        <v>A</v>
      </c>
      <c r="G40" s="1" t="str">
        <f t="shared" ca="1" si="3"/>
        <v>A</v>
      </c>
      <c r="H40" s="1" t="str">
        <f t="shared" ca="1" si="3"/>
        <v>A</v>
      </c>
      <c r="I40" s="1" t="str">
        <f t="shared" ca="1" si="3"/>
        <v>A</v>
      </c>
      <c r="J40" s="1" t="str">
        <f t="shared" ca="1" si="3"/>
        <v>A</v>
      </c>
      <c r="K40" s="1" t="str">
        <f t="shared" ca="1" si="3"/>
        <v>A</v>
      </c>
      <c r="L40" s="1" t="str">
        <f t="shared" ca="1" si="3"/>
        <v>A</v>
      </c>
      <c r="M40" s="1" t="str">
        <f t="shared" ca="1" si="3"/>
        <v>A</v>
      </c>
    </row>
    <row r="41" spans="1:13" x14ac:dyDescent="0.2">
      <c r="A41" s="1">
        <f t="shared" ca="1" si="1"/>
        <v>4</v>
      </c>
      <c r="B41" t="str">
        <f ca="1">VLOOKUP($A41,'Student list'!$A:$C,2,0)</f>
        <v>Neomi</v>
      </c>
      <c r="C41" t="str">
        <f ca="1">VLOOKUP($A41,'Student list'!$A:$C,3,0)</f>
        <v>Overstreet</v>
      </c>
      <c r="D41" s="1" t="str">
        <f t="shared" ca="1" si="4"/>
        <v>A</v>
      </c>
      <c r="E41" s="1" t="str">
        <f t="shared" ca="1" si="3"/>
        <v>A</v>
      </c>
      <c r="F41" s="1" t="str">
        <f t="shared" ca="1" si="3"/>
        <v>A</v>
      </c>
      <c r="G41" s="1" t="str">
        <f t="shared" ca="1" si="3"/>
        <v>A</v>
      </c>
      <c r="H41" s="1" t="str">
        <f t="shared" ca="1" si="3"/>
        <v>A</v>
      </c>
      <c r="I41" s="1" t="str">
        <f t="shared" ca="1" si="3"/>
        <v>A</v>
      </c>
      <c r="J41" s="1" t="str">
        <f t="shared" ca="1" si="3"/>
        <v>A</v>
      </c>
      <c r="K41" s="1" t="str">
        <f t="shared" ca="1" si="3"/>
        <v>A</v>
      </c>
      <c r="L41" s="1" t="str">
        <f t="shared" ca="1" si="3"/>
        <v>A</v>
      </c>
      <c r="M41" s="1" t="str">
        <f t="shared" ca="1" si="3"/>
        <v>A</v>
      </c>
    </row>
    <row r="42" spans="1:13" x14ac:dyDescent="0.2">
      <c r="A42" s="1">
        <f t="shared" ca="1" si="1"/>
        <v>20</v>
      </c>
      <c r="B42" t="str">
        <f ca="1">VLOOKUP($A42,'Student list'!$A:$C,2,0)</f>
        <v>Jeanene</v>
      </c>
      <c r="C42" t="str">
        <f ca="1">VLOOKUP($A42,'Student list'!$A:$C,3,0)</f>
        <v>Brauer</v>
      </c>
      <c r="D42" s="1" t="str">
        <f t="shared" ca="1" si="4"/>
        <v>A</v>
      </c>
      <c r="E42" s="1" t="str">
        <f t="shared" ca="1" si="3"/>
        <v>A</v>
      </c>
      <c r="F42" s="1" t="str">
        <f t="shared" ca="1" si="3"/>
        <v>A</v>
      </c>
      <c r="G42" s="1" t="str">
        <f t="shared" ca="1" si="3"/>
        <v>A</v>
      </c>
      <c r="H42" s="1" t="str">
        <f t="shared" ca="1" si="3"/>
        <v>A</v>
      </c>
      <c r="I42" s="1" t="str">
        <f t="shared" ca="1" si="3"/>
        <v/>
      </c>
      <c r="J42" s="1" t="str">
        <f t="shared" ca="1" si="3"/>
        <v/>
      </c>
      <c r="K42" s="1" t="str">
        <f t="shared" ca="1" si="3"/>
        <v>A</v>
      </c>
      <c r="L42" s="1" t="str">
        <f t="shared" ca="1" si="3"/>
        <v>A</v>
      </c>
      <c r="M42" s="1" t="str">
        <f t="shared" ca="1" si="3"/>
        <v>A</v>
      </c>
    </row>
    <row r="43" spans="1:13" x14ac:dyDescent="0.2">
      <c r="A43" s="1">
        <f t="shared" ca="1" si="1"/>
        <v>13</v>
      </c>
      <c r="B43" t="str">
        <f ca="1">VLOOKUP($A43,'Student list'!$A:$C,2,0)</f>
        <v>Seema</v>
      </c>
      <c r="C43" t="str">
        <f ca="1">VLOOKUP($A43,'Student list'!$A:$C,3,0)</f>
        <v>Kennerson</v>
      </c>
      <c r="D43" s="1" t="str">
        <f t="shared" ca="1" si="4"/>
        <v>A</v>
      </c>
      <c r="E43" s="1" t="str">
        <f t="shared" ca="1" si="3"/>
        <v>A</v>
      </c>
      <c r="F43" s="1" t="str">
        <f t="shared" ca="1" si="3"/>
        <v>A</v>
      </c>
      <c r="G43" s="1" t="str">
        <f t="shared" ca="1" si="3"/>
        <v>A</v>
      </c>
      <c r="H43" s="1" t="str">
        <f t="shared" ca="1" si="3"/>
        <v>A</v>
      </c>
      <c r="I43" s="1" t="str">
        <f t="shared" ca="1" si="3"/>
        <v>A</v>
      </c>
      <c r="J43" s="1" t="str">
        <f t="shared" ca="1" si="3"/>
        <v>A</v>
      </c>
      <c r="K43" s="1" t="str">
        <f t="shared" ca="1" si="3"/>
        <v>A</v>
      </c>
      <c r="L43" s="1" t="str">
        <f t="shared" ca="1" si="3"/>
        <v>A</v>
      </c>
      <c r="M43" s="1" t="str">
        <f t="shared" ca="1" si="3"/>
        <v>A</v>
      </c>
    </row>
    <row r="44" spans="1:13" x14ac:dyDescent="0.2">
      <c r="A44" s="1">
        <f t="shared" ca="1" si="1"/>
        <v>15</v>
      </c>
      <c r="B44" t="str">
        <f ca="1">VLOOKUP($A44,'Student list'!$A:$C,2,0)</f>
        <v>Francesca</v>
      </c>
      <c r="C44" t="str">
        <f ca="1">VLOOKUP($A44,'Student list'!$A:$C,3,0)</f>
        <v>Platner</v>
      </c>
      <c r="D44" s="1" t="str">
        <f t="shared" ca="1" si="4"/>
        <v>A</v>
      </c>
      <c r="E44" s="1" t="str">
        <f t="shared" ca="1" si="4"/>
        <v>A</v>
      </c>
      <c r="F44" s="1" t="str">
        <f t="shared" ca="1" si="4"/>
        <v>A</v>
      </c>
      <c r="G44" s="1" t="str">
        <f t="shared" ca="1" si="4"/>
        <v>A</v>
      </c>
      <c r="H44" s="1" t="str">
        <f t="shared" ca="1" si="4"/>
        <v>A</v>
      </c>
      <c r="I44" s="1" t="str">
        <f t="shared" ca="1" si="4"/>
        <v>A</v>
      </c>
      <c r="J44" s="1" t="str">
        <f t="shared" ca="1" si="4"/>
        <v>A</v>
      </c>
      <c r="K44" s="1" t="str">
        <f t="shared" ca="1" si="4"/>
        <v>A</v>
      </c>
      <c r="L44" s="1" t="str">
        <f t="shared" ca="1" si="4"/>
        <v>A</v>
      </c>
      <c r="M44" s="1" t="str">
        <f t="shared" ca="1" si="4"/>
        <v>A</v>
      </c>
    </row>
    <row r="45" spans="1:13" x14ac:dyDescent="0.2">
      <c r="A45" s="1">
        <f t="shared" ca="1" si="1"/>
        <v>1</v>
      </c>
      <c r="B45" t="str">
        <f ca="1">VLOOKUP($A45,'Student list'!$A:$C,2,0)</f>
        <v>Manda</v>
      </c>
      <c r="C45" t="str">
        <f ca="1">VLOOKUP($A45,'Student list'!$A:$C,3,0)</f>
        <v>Otero</v>
      </c>
      <c r="D45" s="1" t="str">
        <f t="shared" ca="1" si="4"/>
        <v>A</v>
      </c>
      <c r="E45" s="1" t="str">
        <f t="shared" ca="1" si="4"/>
        <v>A</v>
      </c>
      <c r="F45" s="1" t="str">
        <f t="shared" ca="1" si="4"/>
        <v>A</v>
      </c>
      <c r="G45" s="1" t="str">
        <f t="shared" ca="1" si="4"/>
        <v>A</v>
      </c>
      <c r="H45" s="1" t="str">
        <f t="shared" ca="1" si="4"/>
        <v>A</v>
      </c>
      <c r="I45" s="1" t="str">
        <f t="shared" ca="1" si="4"/>
        <v>A</v>
      </c>
      <c r="J45" s="1" t="str">
        <f t="shared" ca="1" si="4"/>
        <v>A</v>
      </c>
      <c r="K45" s="1" t="str">
        <f t="shared" ca="1" si="4"/>
        <v>A</v>
      </c>
      <c r="L45" s="1" t="str">
        <f t="shared" ca="1" si="4"/>
        <v>A</v>
      </c>
      <c r="M45" s="1" t="str">
        <f t="shared" ca="1" si="4"/>
        <v>A</v>
      </c>
    </row>
    <row r="46" spans="1:13" x14ac:dyDescent="0.2">
      <c r="A46" s="1">
        <f t="shared" ca="1" si="1"/>
        <v>10</v>
      </c>
      <c r="B46" t="str">
        <f ca="1">VLOOKUP($A46,'Student list'!$A:$C,2,0)</f>
        <v>Jenni</v>
      </c>
      <c r="C46" t="str">
        <f ca="1">VLOOKUP($A46,'Student list'!$A:$C,3,0)</f>
        <v>Kilmer</v>
      </c>
      <c r="D46" s="1" t="str">
        <f t="shared" ca="1" si="4"/>
        <v>A</v>
      </c>
      <c r="E46" s="1" t="str">
        <f t="shared" ca="1" si="4"/>
        <v>A</v>
      </c>
      <c r="F46" s="1" t="str">
        <f t="shared" ca="1" si="4"/>
        <v/>
      </c>
      <c r="G46" s="1" t="str">
        <f t="shared" ca="1" si="4"/>
        <v>A</v>
      </c>
      <c r="H46" s="1" t="str">
        <f t="shared" ca="1" si="4"/>
        <v>A</v>
      </c>
      <c r="I46" s="1" t="str">
        <f t="shared" ca="1" si="4"/>
        <v>A</v>
      </c>
      <c r="J46" s="1" t="str">
        <f t="shared" ca="1" si="4"/>
        <v>A</v>
      </c>
      <c r="K46" s="1" t="str">
        <f t="shared" ca="1" si="4"/>
        <v>A</v>
      </c>
      <c r="L46" s="1" t="str">
        <f t="shared" ca="1" si="4"/>
        <v>A</v>
      </c>
      <c r="M46" s="1" t="str">
        <f t="shared" ca="1" si="4"/>
        <v>A</v>
      </c>
    </row>
    <row r="47" spans="1:13" x14ac:dyDescent="0.2">
      <c r="A47" s="1">
        <f t="shared" ca="1" si="1"/>
        <v>11</v>
      </c>
      <c r="B47" t="str">
        <f ca="1">VLOOKUP($A47,'Student list'!$A:$C,2,0)</f>
        <v>Tomika</v>
      </c>
      <c r="C47" t="str">
        <f ca="1">VLOOKUP($A47,'Student list'!$A:$C,3,0)</f>
        <v>Villa</v>
      </c>
      <c r="D47" s="1" t="str">
        <f t="shared" ca="1" si="4"/>
        <v>A</v>
      </c>
      <c r="E47" s="1" t="str">
        <f t="shared" ca="1" si="4"/>
        <v>A</v>
      </c>
      <c r="F47" s="1" t="str">
        <f t="shared" ca="1" si="4"/>
        <v>A</v>
      </c>
      <c r="G47" s="1" t="str">
        <f t="shared" ca="1" si="4"/>
        <v>A</v>
      </c>
      <c r="H47" s="1" t="str">
        <f t="shared" ca="1" si="4"/>
        <v>A</v>
      </c>
      <c r="I47" s="1" t="str">
        <f t="shared" ca="1" si="4"/>
        <v>A</v>
      </c>
      <c r="J47" s="1" t="str">
        <f t="shared" ca="1" si="4"/>
        <v>A</v>
      </c>
      <c r="K47" s="1" t="str">
        <f t="shared" ca="1" si="4"/>
        <v>A</v>
      </c>
      <c r="L47" s="1" t="str">
        <f t="shared" ca="1" si="4"/>
        <v>A</v>
      </c>
      <c r="M47" s="1" t="str">
        <f t="shared" ca="1" si="4"/>
        <v>A</v>
      </c>
    </row>
    <row r="48" spans="1:13" x14ac:dyDescent="0.2">
      <c r="A48" s="1">
        <f t="shared" ca="1" si="1"/>
        <v>11</v>
      </c>
      <c r="B48" t="str">
        <f ca="1">VLOOKUP($A48,'Student list'!$A:$C,2,0)</f>
        <v>Tomika</v>
      </c>
      <c r="C48" t="str">
        <f ca="1">VLOOKUP($A48,'Student list'!$A:$C,3,0)</f>
        <v>Villa</v>
      </c>
      <c r="D48" s="1" t="str">
        <f t="shared" ca="1" si="4"/>
        <v>A</v>
      </c>
      <c r="E48" s="1" t="str">
        <f t="shared" ca="1" si="4"/>
        <v>A</v>
      </c>
      <c r="F48" s="1" t="str">
        <f t="shared" ca="1" si="4"/>
        <v>A</v>
      </c>
      <c r="G48" s="1" t="str">
        <f t="shared" ca="1" si="4"/>
        <v>A</v>
      </c>
      <c r="H48" s="1" t="str">
        <f t="shared" ca="1" si="4"/>
        <v>A</v>
      </c>
      <c r="I48" s="1" t="str">
        <f t="shared" ca="1" si="4"/>
        <v>A</v>
      </c>
      <c r="J48" s="1" t="str">
        <f t="shared" ca="1" si="4"/>
        <v>A</v>
      </c>
      <c r="K48" s="1" t="str">
        <f t="shared" ca="1" si="4"/>
        <v>A</v>
      </c>
      <c r="L48" s="1" t="str">
        <f t="shared" ca="1" si="4"/>
        <v>A</v>
      </c>
      <c r="M48" s="1" t="str">
        <f t="shared" ca="1" si="4"/>
        <v>A</v>
      </c>
    </row>
    <row r="49" spans="1:13" x14ac:dyDescent="0.2">
      <c r="A49" s="1">
        <f t="shared" ca="1" si="1"/>
        <v>16</v>
      </c>
      <c r="B49" t="str">
        <f ca="1">VLOOKUP($A49,'Student list'!$A:$C,2,0)</f>
        <v>Arianne</v>
      </c>
      <c r="C49" t="str">
        <f ca="1">VLOOKUP($A49,'Student list'!$A:$C,3,0)</f>
        <v>Mcgarity</v>
      </c>
      <c r="D49" s="1" t="str">
        <f t="shared" ca="1" si="4"/>
        <v>A</v>
      </c>
      <c r="E49" s="1" t="str">
        <f t="shared" ca="1" si="4"/>
        <v>A</v>
      </c>
      <c r="F49" s="1" t="str">
        <f t="shared" ca="1" si="4"/>
        <v>A</v>
      </c>
      <c r="G49" s="1" t="str">
        <f t="shared" ca="1" si="4"/>
        <v>A</v>
      </c>
      <c r="H49" s="1" t="str">
        <f t="shared" ca="1" si="4"/>
        <v>A</v>
      </c>
      <c r="I49" s="1" t="str">
        <f t="shared" ca="1" si="4"/>
        <v/>
      </c>
      <c r="J49" s="1" t="str">
        <f t="shared" ca="1" si="4"/>
        <v>A</v>
      </c>
      <c r="K49" s="1" t="str">
        <f t="shared" ca="1" si="4"/>
        <v>A</v>
      </c>
      <c r="L49" s="1" t="str">
        <f t="shared" ca="1" si="4"/>
        <v/>
      </c>
      <c r="M49" s="1" t="str">
        <f t="shared" ca="1" si="4"/>
        <v>A</v>
      </c>
    </row>
    <row r="50" spans="1:13" x14ac:dyDescent="0.2">
      <c r="A50" s="1">
        <f t="shared" ca="1" si="1"/>
        <v>7</v>
      </c>
      <c r="B50" t="str">
        <f ca="1">VLOOKUP($A50,'Student list'!$A:$C,2,0)</f>
        <v>Lottie</v>
      </c>
      <c r="C50" t="str">
        <f ca="1">VLOOKUP($A50,'Student list'!$A:$C,3,0)</f>
        <v>Jiggetts</v>
      </c>
      <c r="D50" s="1" t="str">
        <f t="shared" ca="1" si="4"/>
        <v>A</v>
      </c>
      <c r="E50" s="1" t="str">
        <f t="shared" ca="1" si="4"/>
        <v>A</v>
      </c>
      <c r="F50" s="1" t="str">
        <f t="shared" ca="1" si="4"/>
        <v>A</v>
      </c>
      <c r="G50" s="1" t="str">
        <f t="shared" ca="1" si="4"/>
        <v>A</v>
      </c>
      <c r="H50" s="1" t="str">
        <f t="shared" ca="1" si="4"/>
        <v>A</v>
      </c>
      <c r="I50" s="1" t="str">
        <f t="shared" ca="1" si="4"/>
        <v>A</v>
      </c>
      <c r="J50" s="1" t="str">
        <f t="shared" ca="1" si="4"/>
        <v/>
      </c>
      <c r="K50" s="1" t="str">
        <f t="shared" ca="1" si="4"/>
        <v>A</v>
      </c>
      <c r="L50" s="1" t="str">
        <f t="shared" ca="1" si="4"/>
        <v>A</v>
      </c>
      <c r="M50" s="1" t="str">
        <f ca="1">IF(RANDBETWEEN(0,10)&lt;&gt;0,"A","")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I56"/>
  <sheetViews>
    <sheetView topLeftCell="A22" workbookViewId="0">
      <selection activeCell="L20" sqref="L20"/>
    </sheetView>
  </sheetViews>
  <sheetFormatPr defaultRowHeight="14.25" x14ac:dyDescent="0.2"/>
  <sheetData>
    <row r="1" spans="1:9" x14ac:dyDescent="0.2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s="1" t="s">
        <v>5</v>
      </c>
      <c r="I1">
        <v>4</v>
      </c>
    </row>
    <row r="2" spans="1:9" x14ac:dyDescent="0.2">
      <c r="A2" s="1">
        <v>1</v>
      </c>
      <c r="B2" t="s">
        <v>6</v>
      </c>
      <c r="C2" t="s">
        <v>7</v>
      </c>
      <c r="D2" s="1">
        <v>2</v>
      </c>
      <c r="E2" s="1" t="s">
        <v>46</v>
      </c>
      <c r="F2" s="1" t="s">
        <v>47</v>
      </c>
      <c r="I2">
        <v>6</v>
      </c>
    </row>
    <row r="3" spans="1:9" x14ac:dyDescent="0.2">
      <c r="A3" s="1">
        <v>1</v>
      </c>
      <c r="B3" t="s">
        <v>48</v>
      </c>
      <c r="C3" t="s">
        <v>7</v>
      </c>
      <c r="D3" s="1">
        <v>3</v>
      </c>
      <c r="E3" s="1" t="s">
        <v>46</v>
      </c>
      <c r="F3" s="1"/>
      <c r="I3">
        <v>6</v>
      </c>
    </row>
    <row r="4" spans="1:9" x14ac:dyDescent="0.2">
      <c r="A4" s="1">
        <v>2</v>
      </c>
      <c r="B4" t="s">
        <v>8</v>
      </c>
      <c r="C4" t="s">
        <v>9</v>
      </c>
      <c r="D4" s="1">
        <v>4</v>
      </c>
      <c r="E4" s="1" t="s">
        <v>46</v>
      </c>
      <c r="F4" s="1" t="s">
        <v>47</v>
      </c>
      <c r="I4">
        <v>7</v>
      </c>
    </row>
    <row r="5" spans="1:9" x14ac:dyDescent="0.2">
      <c r="A5" s="1">
        <v>3</v>
      </c>
      <c r="B5" t="s">
        <v>10</v>
      </c>
      <c r="C5" t="s">
        <v>11</v>
      </c>
      <c r="D5" s="1">
        <v>5</v>
      </c>
      <c r="E5" s="1" t="s">
        <v>46</v>
      </c>
      <c r="F5" s="1" t="s">
        <v>47</v>
      </c>
      <c r="I5">
        <v>7</v>
      </c>
    </row>
    <row r="6" spans="1:9" x14ac:dyDescent="0.2">
      <c r="A6" s="1">
        <v>4</v>
      </c>
      <c r="B6" t="s">
        <v>12</v>
      </c>
      <c r="C6" t="s">
        <v>13</v>
      </c>
      <c r="D6" s="1">
        <v>6</v>
      </c>
      <c r="E6" s="1" t="s">
        <v>46</v>
      </c>
      <c r="F6" s="1"/>
      <c r="I6">
        <v>10</v>
      </c>
    </row>
    <row r="7" spans="1:9" x14ac:dyDescent="0.2">
      <c r="A7" s="1">
        <v>5</v>
      </c>
      <c r="B7" t="s">
        <v>14</v>
      </c>
      <c r="C7" t="s">
        <v>15</v>
      </c>
      <c r="D7" s="1">
        <v>7</v>
      </c>
      <c r="E7" s="1" t="s">
        <v>46</v>
      </c>
      <c r="F7" s="1" t="s">
        <v>47</v>
      </c>
      <c r="I7">
        <v>18</v>
      </c>
    </row>
    <row r="8" spans="1:9" x14ac:dyDescent="0.2">
      <c r="A8" s="1">
        <v>6</v>
      </c>
      <c r="B8" t="s">
        <v>16</v>
      </c>
      <c r="C8" t="s">
        <v>17</v>
      </c>
      <c r="D8" s="1">
        <v>8</v>
      </c>
      <c r="E8" s="1" t="s">
        <v>46</v>
      </c>
      <c r="F8" s="1" t="s">
        <v>47</v>
      </c>
      <c r="I8">
        <v>19</v>
      </c>
    </row>
    <row r="9" spans="1:9" x14ac:dyDescent="0.2">
      <c r="A9" s="1">
        <v>7</v>
      </c>
      <c r="B9" t="s">
        <v>18</v>
      </c>
      <c r="C9" t="s">
        <v>19</v>
      </c>
      <c r="D9" s="1">
        <v>9</v>
      </c>
      <c r="E9" s="1" t="s">
        <v>46</v>
      </c>
      <c r="F9" s="1" t="s">
        <v>47</v>
      </c>
      <c r="I9">
        <v>22</v>
      </c>
    </row>
    <row r="10" spans="1:9" x14ac:dyDescent="0.2">
      <c r="A10" s="1">
        <v>8</v>
      </c>
      <c r="B10" t="s">
        <v>20</v>
      </c>
      <c r="C10" t="s">
        <v>21</v>
      </c>
      <c r="D10" s="1"/>
      <c r="E10" s="1"/>
      <c r="F10" s="1"/>
      <c r="I10">
        <v>11</v>
      </c>
    </row>
    <row r="11" spans="1:9" x14ac:dyDescent="0.2">
      <c r="A11" s="1">
        <v>8</v>
      </c>
      <c r="B11" t="s">
        <v>20</v>
      </c>
      <c r="C11" t="s">
        <v>49</v>
      </c>
      <c r="D11" s="1">
        <v>11</v>
      </c>
      <c r="E11" s="1" t="s">
        <v>46</v>
      </c>
      <c r="F11" s="1" t="s">
        <v>47</v>
      </c>
      <c r="I11">
        <v>13</v>
      </c>
    </row>
    <row r="12" spans="1:9" x14ac:dyDescent="0.2">
      <c r="A12" s="1">
        <v>8</v>
      </c>
      <c r="B12" t="s">
        <v>20</v>
      </c>
      <c r="C12" t="s">
        <v>21</v>
      </c>
      <c r="D12" s="1">
        <v>12</v>
      </c>
      <c r="E12" s="1" t="s">
        <v>46</v>
      </c>
      <c r="F12" s="1" t="s">
        <v>47</v>
      </c>
      <c r="I12">
        <v>13</v>
      </c>
    </row>
    <row r="13" spans="1:9" x14ac:dyDescent="0.2">
      <c r="A13" s="1">
        <v>9</v>
      </c>
      <c r="B13" t="s">
        <v>22</v>
      </c>
      <c r="C13" t="s">
        <v>23</v>
      </c>
      <c r="D13" s="1"/>
      <c r="E13" s="1" t="s">
        <v>46</v>
      </c>
      <c r="F13" s="1" t="s">
        <v>47</v>
      </c>
      <c r="I13">
        <v>15</v>
      </c>
    </row>
    <row r="14" spans="1:9" x14ac:dyDescent="0.2">
      <c r="A14" s="1">
        <v>10</v>
      </c>
      <c r="B14" t="s">
        <v>24</v>
      </c>
      <c r="C14" t="s">
        <v>25</v>
      </c>
      <c r="D14" s="1">
        <v>14</v>
      </c>
      <c r="E14" s="1" t="s">
        <v>46</v>
      </c>
      <c r="F14" s="1" t="s">
        <v>47</v>
      </c>
      <c r="I14">
        <v>15</v>
      </c>
    </row>
    <row r="15" spans="1:9" x14ac:dyDescent="0.2">
      <c r="A15" s="1">
        <v>11</v>
      </c>
      <c r="B15" t="s">
        <v>26</v>
      </c>
      <c r="C15" t="s">
        <v>27</v>
      </c>
      <c r="D15" s="1">
        <v>15</v>
      </c>
      <c r="E15" s="1"/>
      <c r="F15" s="1" t="s">
        <v>47</v>
      </c>
      <c r="I15">
        <v>15</v>
      </c>
    </row>
    <row r="16" spans="1:9" x14ac:dyDescent="0.2">
      <c r="A16" s="1">
        <v>11</v>
      </c>
      <c r="B16" t="s">
        <v>26</v>
      </c>
      <c r="C16" t="s">
        <v>27</v>
      </c>
      <c r="D16" s="1">
        <v>16</v>
      </c>
      <c r="E16" s="1" t="s">
        <v>46</v>
      </c>
      <c r="F16" s="1" t="s">
        <v>47</v>
      </c>
      <c r="I16">
        <v>14</v>
      </c>
    </row>
    <row r="17" spans="1:9" x14ac:dyDescent="0.2">
      <c r="I17">
        <v>3</v>
      </c>
    </row>
    <row r="24" spans="1:9" x14ac:dyDescent="0.2">
      <c r="A24" s="1" t="s">
        <v>0</v>
      </c>
      <c r="B24" t="s">
        <v>1</v>
      </c>
      <c r="C24" t="s">
        <v>2</v>
      </c>
      <c r="D24" s="1" t="s">
        <v>3</v>
      </c>
      <c r="E24" s="1" t="s">
        <v>4</v>
      </c>
      <c r="F24" s="1" t="s">
        <v>5</v>
      </c>
      <c r="G24" s="1" t="s">
        <v>52</v>
      </c>
    </row>
    <row r="25" spans="1:9" x14ac:dyDescent="0.2">
      <c r="A25" s="1">
        <v>2</v>
      </c>
      <c r="B25" t="s">
        <v>8</v>
      </c>
      <c r="C25" t="s">
        <v>9</v>
      </c>
      <c r="F25" s="1" t="s">
        <v>47</v>
      </c>
      <c r="G25" s="1" t="s">
        <v>50</v>
      </c>
    </row>
    <row r="26" spans="1:9" x14ac:dyDescent="0.2">
      <c r="A26" s="1">
        <v>2</v>
      </c>
      <c r="B26" t="s">
        <v>8</v>
      </c>
      <c r="C26" t="s">
        <v>9</v>
      </c>
      <c r="D26" s="1">
        <v>3</v>
      </c>
      <c r="E26" s="1" t="s">
        <v>46</v>
      </c>
      <c r="F26" s="1"/>
      <c r="G26" s="1" t="s">
        <v>51</v>
      </c>
    </row>
    <row r="27" spans="1:9" x14ac:dyDescent="0.2">
      <c r="A27" s="1">
        <v>2</v>
      </c>
      <c r="B27" t="s">
        <v>8</v>
      </c>
      <c r="C27" t="s">
        <v>9</v>
      </c>
      <c r="D27" s="1">
        <v>2</v>
      </c>
      <c r="E27" s="1" t="s">
        <v>46</v>
      </c>
      <c r="F27" s="1" t="s">
        <v>47</v>
      </c>
      <c r="G27" s="1"/>
    </row>
    <row r="28" spans="1:9" x14ac:dyDescent="0.2">
      <c r="A28" s="1">
        <v>3</v>
      </c>
      <c r="B28" t="s">
        <v>10</v>
      </c>
      <c r="C28" t="s">
        <v>11</v>
      </c>
      <c r="D28" s="1">
        <v>5</v>
      </c>
      <c r="E28" s="1" t="s">
        <v>46</v>
      </c>
      <c r="F28" s="1" t="s">
        <v>47</v>
      </c>
      <c r="G28" s="1" t="s">
        <v>51</v>
      </c>
    </row>
    <row r="29" spans="1:9" x14ac:dyDescent="0.2">
      <c r="A29" s="1">
        <v>1</v>
      </c>
      <c r="B29" t="s">
        <v>6</v>
      </c>
      <c r="C29" t="s">
        <v>7</v>
      </c>
      <c r="D29" s="1">
        <v>6</v>
      </c>
      <c r="E29" s="1" t="s">
        <v>46</v>
      </c>
      <c r="F29" s="1"/>
      <c r="G29" s="1" t="s">
        <v>51</v>
      </c>
    </row>
    <row r="30" spans="1:9" x14ac:dyDescent="0.2">
      <c r="A30" s="1">
        <v>5</v>
      </c>
      <c r="B30" t="s">
        <v>14</v>
      </c>
      <c r="C30" t="s">
        <v>15</v>
      </c>
      <c r="D30" s="1">
        <v>7</v>
      </c>
      <c r="E30" s="1" t="s">
        <v>46</v>
      </c>
      <c r="F30" s="1" t="s">
        <v>47</v>
      </c>
      <c r="G30" s="1" t="s">
        <v>51</v>
      </c>
    </row>
    <row r="31" spans="1:9" x14ac:dyDescent="0.2">
      <c r="A31" s="1">
        <v>6</v>
      </c>
      <c r="B31" t="s">
        <v>16</v>
      </c>
      <c r="C31" t="s">
        <v>17</v>
      </c>
      <c r="D31" s="1">
        <v>8</v>
      </c>
      <c r="E31" s="1" t="s">
        <v>46</v>
      </c>
      <c r="F31" s="1" t="s">
        <v>47</v>
      </c>
      <c r="G31" s="1"/>
    </row>
    <row r="32" spans="1:9" x14ac:dyDescent="0.2">
      <c r="A32" s="1">
        <v>3</v>
      </c>
      <c r="B32" t="s">
        <v>10</v>
      </c>
      <c r="C32" t="s">
        <v>11</v>
      </c>
      <c r="D32" s="1">
        <v>9</v>
      </c>
      <c r="E32" s="1" t="s">
        <v>46</v>
      </c>
      <c r="F32" s="1" t="s">
        <v>47</v>
      </c>
      <c r="G32" s="1" t="s">
        <v>51</v>
      </c>
    </row>
    <row r="33" spans="1:7" x14ac:dyDescent="0.2">
      <c r="A33" s="1">
        <v>1</v>
      </c>
      <c r="B33" t="s">
        <v>6</v>
      </c>
      <c r="C33" t="s">
        <v>7</v>
      </c>
      <c r="D33" s="1"/>
      <c r="E33" s="1"/>
      <c r="F33" s="1"/>
      <c r="G33" s="1"/>
    </row>
    <row r="34" spans="1:7" x14ac:dyDescent="0.2">
      <c r="A34" s="1">
        <v>8</v>
      </c>
      <c r="B34" t="s">
        <v>20</v>
      </c>
      <c r="C34" t="s">
        <v>21</v>
      </c>
      <c r="D34" s="1">
        <v>11</v>
      </c>
      <c r="E34" s="1" t="s">
        <v>46</v>
      </c>
      <c r="F34" s="1" t="s">
        <v>47</v>
      </c>
      <c r="G34" s="1"/>
    </row>
    <row r="35" spans="1:7" x14ac:dyDescent="0.2">
      <c r="A35" s="1">
        <v>7</v>
      </c>
      <c r="B35" t="s">
        <v>18</v>
      </c>
      <c r="C35" t="s">
        <v>19</v>
      </c>
      <c r="D35" s="1">
        <v>12</v>
      </c>
      <c r="E35" s="1" t="s">
        <v>46</v>
      </c>
      <c r="F35" s="1" t="s">
        <v>47</v>
      </c>
      <c r="G35" s="1" t="s">
        <v>51</v>
      </c>
    </row>
    <row r="36" spans="1:7" x14ac:dyDescent="0.2">
      <c r="A36" s="1">
        <v>8</v>
      </c>
      <c r="B36" t="s">
        <v>20</v>
      </c>
      <c r="C36" t="s">
        <v>21</v>
      </c>
      <c r="D36" s="1"/>
      <c r="E36" s="1" t="s">
        <v>46</v>
      </c>
      <c r="F36" s="1" t="s">
        <v>47</v>
      </c>
      <c r="G36" s="1"/>
    </row>
    <row r="37" spans="1:7" x14ac:dyDescent="0.2">
      <c r="A37" s="1">
        <v>9</v>
      </c>
      <c r="B37" t="s">
        <v>22</v>
      </c>
      <c r="C37" t="s">
        <v>23</v>
      </c>
      <c r="D37" s="1">
        <v>14</v>
      </c>
      <c r="E37" s="1" t="s">
        <v>46</v>
      </c>
      <c r="F37" s="1" t="s">
        <v>47</v>
      </c>
      <c r="G37" s="1" t="s">
        <v>51</v>
      </c>
    </row>
    <row r="38" spans="1:7" x14ac:dyDescent="0.2">
      <c r="A38" s="1">
        <v>11</v>
      </c>
      <c r="B38" t="s">
        <v>26</v>
      </c>
      <c r="C38" t="s">
        <v>27</v>
      </c>
      <c r="D38" s="1">
        <v>11</v>
      </c>
      <c r="E38" s="1"/>
      <c r="F38" s="1" t="s">
        <v>47</v>
      </c>
      <c r="G38" s="1"/>
    </row>
    <row r="39" spans="1:7" x14ac:dyDescent="0.2">
      <c r="A39" s="1">
        <v>10</v>
      </c>
      <c r="B39" t="s">
        <v>24</v>
      </c>
      <c r="C39" t="s">
        <v>25</v>
      </c>
      <c r="D39" s="1">
        <v>16</v>
      </c>
      <c r="E39" s="1" t="s">
        <v>46</v>
      </c>
      <c r="F39" s="1" t="s">
        <v>47</v>
      </c>
      <c r="G39" s="1" t="s">
        <v>51</v>
      </c>
    </row>
    <row r="41" spans="1:7" x14ac:dyDescent="0.2">
      <c r="A41" s="1" t="s">
        <v>0</v>
      </c>
      <c r="B41" t="s">
        <v>1</v>
      </c>
      <c r="C41" t="s">
        <v>2</v>
      </c>
      <c r="D41" s="1" t="s">
        <v>3</v>
      </c>
      <c r="E41" s="1" t="s">
        <v>4</v>
      </c>
      <c r="F41" s="1" t="s">
        <v>5</v>
      </c>
    </row>
    <row r="42" spans="1:7" x14ac:dyDescent="0.2">
      <c r="A42" s="1">
        <v>1</v>
      </c>
      <c r="B42" t="s">
        <v>6</v>
      </c>
      <c r="C42" t="s">
        <v>7</v>
      </c>
      <c r="D42" s="1">
        <v>2</v>
      </c>
      <c r="E42" s="1" t="s">
        <v>46</v>
      </c>
      <c r="F42" s="1" t="s">
        <v>47</v>
      </c>
    </row>
    <row r="43" spans="1:7" x14ac:dyDescent="0.2">
      <c r="A43" s="1">
        <v>1</v>
      </c>
      <c r="B43" t="s">
        <v>48</v>
      </c>
      <c r="C43" t="s">
        <v>7</v>
      </c>
      <c r="D43" s="1">
        <v>3</v>
      </c>
      <c r="E43" s="1" t="s">
        <v>46</v>
      </c>
      <c r="F43" s="1" t="s">
        <v>47</v>
      </c>
    </row>
    <row r="44" spans="1:7" x14ac:dyDescent="0.2">
      <c r="A44" s="1">
        <v>2</v>
      </c>
      <c r="B44" t="s">
        <v>8</v>
      </c>
      <c r="C44" t="s">
        <v>9</v>
      </c>
      <c r="D44" s="1">
        <v>4</v>
      </c>
      <c r="E44" s="1" t="s">
        <v>46</v>
      </c>
      <c r="F44" s="1"/>
    </row>
    <row r="45" spans="1:7" x14ac:dyDescent="0.2">
      <c r="A45" s="1">
        <v>3</v>
      </c>
      <c r="B45" t="s">
        <v>10</v>
      </c>
      <c r="C45" t="s">
        <v>11</v>
      </c>
      <c r="D45" s="1">
        <v>5</v>
      </c>
      <c r="E45" s="1" t="s">
        <v>46</v>
      </c>
      <c r="F45" s="1"/>
    </row>
    <row r="46" spans="1:7" x14ac:dyDescent="0.2">
      <c r="A46" s="1">
        <v>4</v>
      </c>
      <c r="B46" t="s">
        <v>12</v>
      </c>
      <c r="C46" t="s">
        <v>13</v>
      </c>
      <c r="D46" s="1">
        <v>6</v>
      </c>
      <c r="E46" s="1" t="s">
        <v>46</v>
      </c>
      <c r="F46" s="1"/>
    </row>
    <row r="47" spans="1:7" x14ac:dyDescent="0.2">
      <c r="A47" s="1">
        <v>5</v>
      </c>
      <c r="B47" t="s">
        <v>14</v>
      </c>
      <c r="C47" t="s">
        <v>15</v>
      </c>
      <c r="D47" s="1">
        <v>7</v>
      </c>
      <c r="E47" s="1" t="s">
        <v>46</v>
      </c>
      <c r="F47" s="1" t="s">
        <v>47</v>
      </c>
    </row>
    <row r="48" spans="1:7" x14ac:dyDescent="0.2">
      <c r="A48" s="1">
        <v>6</v>
      </c>
      <c r="B48" t="s">
        <v>16</v>
      </c>
      <c r="C48" t="s">
        <v>17</v>
      </c>
      <c r="D48" s="1">
        <v>8</v>
      </c>
      <c r="E48" s="1" t="s">
        <v>46</v>
      </c>
      <c r="F48" s="1" t="s">
        <v>47</v>
      </c>
    </row>
    <row r="49" spans="1:6" x14ac:dyDescent="0.2">
      <c r="A49" s="1">
        <v>7</v>
      </c>
      <c r="B49" t="s">
        <v>18</v>
      </c>
      <c r="C49" t="s">
        <v>19</v>
      </c>
      <c r="D49" s="1">
        <v>9</v>
      </c>
      <c r="E49" s="1" t="s">
        <v>46</v>
      </c>
      <c r="F49" s="1" t="s">
        <v>47</v>
      </c>
    </row>
    <row r="50" spans="1:6" x14ac:dyDescent="0.2">
      <c r="A50" s="1">
        <v>8</v>
      </c>
      <c r="B50" t="s">
        <v>20</v>
      </c>
      <c r="C50" t="s">
        <v>21</v>
      </c>
      <c r="D50" s="1"/>
      <c r="E50" s="1"/>
      <c r="F50" s="1" t="s">
        <v>47</v>
      </c>
    </row>
    <row r="51" spans="1:6" x14ac:dyDescent="0.2">
      <c r="A51" s="1">
        <v>8</v>
      </c>
      <c r="B51" t="s">
        <v>20</v>
      </c>
      <c r="C51" t="s">
        <v>49</v>
      </c>
      <c r="D51" s="1">
        <v>11</v>
      </c>
      <c r="E51" s="1" t="s">
        <v>46</v>
      </c>
      <c r="F51" s="1" t="s">
        <v>47</v>
      </c>
    </row>
    <row r="52" spans="1:6" x14ac:dyDescent="0.2">
      <c r="A52" s="1">
        <v>8</v>
      </c>
      <c r="B52" t="s">
        <v>20</v>
      </c>
      <c r="C52" t="s">
        <v>21</v>
      </c>
      <c r="D52" s="1">
        <v>12</v>
      </c>
      <c r="E52" s="1" t="s">
        <v>46</v>
      </c>
      <c r="F52" s="1" t="s">
        <v>47</v>
      </c>
    </row>
    <row r="53" spans="1:6" x14ac:dyDescent="0.2">
      <c r="A53" s="1">
        <v>9</v>
      </c>
      <c r="B53" t="s">
        <v>22</v>
      </c>
      <c r="C53" t="s">
        <v>23</v>
      </c>
      <c r="D53" s="1"/>
      <c r="E53" s="1" t="s">
        <v>46</v>
      </c>
      <c r="F53" s="1"/>
    </row>
    <row r="54" spans="1:6" x14ac:dyDescent="0.2">
      <c r="A54" s="1">
        <v>10</v>
      </c>
      <c r="B54" t="s">
        <v>24</v>
      </c>
      <c r="C54" t="s">
        <v>25</v>
      </c>
      <c r="D54" s="1">
        <v>14</v>
      </c>
      <c r="E54" s="1" t="s">
        <v>46</v>
      </c>
      <c r="F54" s="1"/>
    </row>
    <row r="55" spans="1:6" x14ac:dyDescent="0.2">
      <c r="A55" s="1">
        <v>11</v>
      </c>
      <c r="B55" t="s">
        <v>26</v>
      </c>
      <c r="C55" t="s">
        <v>27</v>
      </c>
      <c r="D55" s="1">
        <v>15</v>
      </c>
      <c r="E55" s="1"/>
      <c r="F55" s="1" t="s">
        <v>47</v>
      </c>
    </row>
    <row r="56" spans="1:6" x14ac:dyDescent="0.2">
      <c r="A56" s="1">
        <v>11</v>
      </c>
      <c r="B56" t="s">
        <v>26</v>
      </c>
      <c r="C56" t="s">
        <v>27</v>
      </c>
      <c r="D56" s="1">
        <v>16</v>
      </c>
      <c r="E56" s="1" t="s">
        <v>46</v>
      </c>
      <c r="F56" s="1" t="s">
        <v>47</v>
      </c>
    </row>
  </sheetData>
  <sortState xmlns:xlrd2="http://schemas.microsoft.com/office/spreadsheetml/2017/richdata2" ref="A2:F16">
    <sortCondition ref="A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Quiz1</vt:lpstr>
      <vt:lpstr>Quiz2</vt:lpstr>
      <vt:lpstr>Quiz3</vt:lpstr>
      <vt:lpstr>Quiz4</vt:lpstr>
      <vt:lpstr>Quiz5</vt:lpstr>
      <vt:lpstr>Quiz6</vt:lpstr>
      <vt:lpstr>Student list</vt:lpstr>
      <vt:lpstr>Randomrecord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Frank</cp:lastModifiedBy>
  <dcterms:created xsi:type="dcterms:W3CDTF">2019-03-07T03:56:57Z</dcterms:created>
  <dcterms:modified xsi:type="dcterms:W3CDTF">2019-03-16T03:26:55Z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4bebbea6-dbec-4e23-b5d3-76ccc529ed39</vt:lpwstr>
  </property>
</Properties>
</file>